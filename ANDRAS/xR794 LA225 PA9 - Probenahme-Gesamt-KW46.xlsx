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I:\ATIBK_Projects\R794\5_WS\58_GEOL\LA602_Monitoring_Phase_2_2\_WWBS_LA602\_Monitoring_Mst_Dritter\PA9\Import_PN\KW46\"/>
    </mc:Choice>
  </mc:AlternateContent>
  <xr:revisionPtr revIDLastSave="0" documentId="13_ncr:1_{1C916C65-03A2-48E7-ABBB-A5C384023932}" xr6:coauthVersionLast="47" xr6:coauthVersionMax="47" xr10:uidLastSave="{00000000-0000-0000-0000-000000000000}"/>
  <bookViews>
    <workbookView xWindow="-28920" yWindow="0" windowWidth="29040" windowHeight="15840" tabRatio="605" activeTab="2" xr2:uid="{00000000-000D-0000-FFFF-FFFF00000000}"/>
  </bookViews>
  <sheets>
    <sheet name="E2_RMR_KWXX_2023" sheetId="1" r:id="rId1"/>
    <sheet name="E2" sheetId="2" r:id="rId2"/>
    <sheet name="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</calcChain>
</file>

<file path=xl/sharedStrings.xml><?xml version="1.0" encoding="utf-8"?>
<sst xmlns="http://schemas.openxmlformats.org/spreadsheetml/2006/main" count="484" uniqueCount="104">
  <si>
    <t>Datum/Uhrzeit</t>
  </si>
  <si>
    <t>Wasserspiegel (ROK) [m]</t>
  </si>
  <si>
    <t>Wasserstand (absolut) [m]</t>
  </si>
  <si>
    <t>Quellschüttung [l/s]</t>
  </si>
  <si>
    <t>Wassertemperatur [°C]</t>
  </si>
  <si>
    <t>Elektrische Leitfähigkeit [µS/cm]</t>
  </si>
  <si>
    <t>Sauerstoff [mg/l]</t>
  </si>
  <si>
    <t>pH-Wert [–]</t>
  </si>
  <si>
    <t>Bemerkung</t>
  </si>
  <si>
    <t>QCOMMENT</t>
  </si>
  <si>
    <t>PH [–]</t>
  </si>
  <si>
    <t>O2 [mg/l]</t>
  </si>
  <si>
    <t>ELL [µS/cm]</t>
  </si>
  <si>
    <t>WAT [°C]</t>
  </si>
  <si>
    <t>QUELLSCH [l/s]</t>
  </si>
  <si>
    <t>WLV_ABSOL [m]</t>
  </si>
  <si>
    <t>WLV_COLLAR [m]</t>
  </si>
  <si>
    <t>SMPDATE</t>
  </si>
  <si>
    <t>INVID</t>
  </si>
  <si>
    <t>Messpunkt-Ident</t>
  </si>
  <si>
    <t>Probenahme</t>
  </si>
  <si>
    <t>Name</t>
  </si>
  <si>
    <t>Durchlaufmenge/Entnahme
[m³/Monat]</t>
  </si>
  <si>
    <t>Trübung</t>
  </si>
  <si>
    <t>klar</t>
  </si>
  <si>
    <t>PA9-BR-LaK-0001</t>
  </si>
  <si>
    <t>BBR 3305, Lauda Nord</t>
  </si>
  <si>
    <t>PA9-BR-LaK-0002</t>
  </si>
  <si>
    <t>BBR I, Lauda Nord</t>
  </si>
  <si>
    <t>PA9-BR-LaK-0003</t>
  </si>
  <si>
    <t>PA9-GW-LaK-0003</t>
  </si>
  <si>
    <t>GWM 1, Lauda-Königshofen</t>
  </si>
  <si>
    <t>n.b.</t>
  </si>
  <si>
    <t>BBR II, Lauda Nord</t>
  </si>
  <si>
    <t>PA9-BR-LaK-0004</t>
  </si>
  <si>
    <t>BBR Heckfeld</t>
  </si>
  <si>
    <t xml:space="preserve"> -</t>
  </si>
  <si>
    <t>Wasserspiegel aus baulichen Gründen nicht meßbar</t>
  </si>
  <si>
    <t>Trübungsmesser defekt</t>
  </si>
  <si>
    <t>Paket 1,3a,3b</t>
  </si>
  <si>
    <t>Paket 1,2,3a,3b</t>
  </si>
  <si>
    <t>0,045 FNU</t>
  </si>
  <si>
    <t>0,035 FNU</t>
  </si>
  <si>
    <t>PA9-QU-Box-0001</t>
  </si>
  <si>
    <t>QUE Talbrunnenquelle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</si>
  <si>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>), freilüften</t>
    </r>
  </si>
  <si>
    <t>PA9-QU-Box-0002</t>
  </si>
  <si>
    <t xml:space="preserve">QUE Zigeunerbrunnen </t>
  </si>
  <si>
    <t>Paket 1,2,3a,3b,3c,4</t>
  </si>
  <si>
    <t>Suspension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</si>
  <si>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>), freilüften
starker Schwefelwasserstoffgeruch</t>
    </r>
  </si>
  <si>
    <t>PA9-QU-Rav-0002</t>
  </si>
  <si>
    <t>QF I (Quellfassung) Rübbrunnen</t>
  </si>
  <si>
    <t>PA9-QU-Rav-0003</t>
  </si>
  <si>
    <t>OF II (Quellfassung) Rübbrunnen</t>
  </si>
  <si>
    <t>PA9-BR-Moe-0001</t>
  </si>
  <si>
    <t>BR Rothof</t>
  </si>
  <si>
    <t>PA9-BR-Tau-0001</t>
  </si>
  <si>
    <t>BBR 15, Dittigheim</t>
  </si>
  <si>
    <t>PA9-BR-Tau-0002</t>
  </si>
  <si>
    <t>BBR 1, Dittigheim</t>
  </si>
  <si>
    <t>PA9-BR-Tau-0003</t>
  </si>
  <si>
    <t>BBR 3, Dittigheim</t>
  </si>
  <si>
    <t>PA9-BR-Tau-0004</t>
  </si>
  <si>
    <t>BBR 5, Dittigheim</t>
  </si>
  <si>
    <t>0,060 FNU</t>
  </si>
  <si>
    <t>PA9-BR-Tau-0005</t>
  </si>
  <si>
    <t>BBR 6, Dittigheim</t>
  </si>
  <si>
    <t>PA9-BR-Tau-0006</t>
  </si>
  <si>
    <t>BBR II, Brauerei Distelhausen</t>
  </si>
  <si>
    <t>PA9-BR-Tau-0007</t>
  </si>
  <si>
    <t>BBR III, Brauerei Distelhausen</t>
  </si>
  <si>
    <t>PA9-BR-Tau-0009</t>
  </si>
  <si>
    <t>BBR IV, Brauerei Distelhausen</t>
  </si>
  <si>
    <t>PA9-BR-Oed-0001</t>
  </si>
  <si>
    <t>TB V Oedheim</t>
  </si>
  <si>
    <t>PA9-BR-Oed-0002</t>
  </si>
  <si>
    <t>TB IV Oedheim</t>
  </si>
  <si>
    <t>PA9-BR-Oed-0003</t>
  </si>
  <si>
    <t>TB III Oedheim</t>
  </si>
  <si>
    <t>PA9-BR-Oed-0004</t>
  </si>
  <si>
    <t>TB II Oedheim</t>
  </si>
  <si>
    <t>PA9-BR-Oed-0005</t>
  </si>
  <si>
    <t>TB I Oedheim (Steinbreche)</t>
  </si>
  <si>
    <t>PA9-BR-Hei-0001</t>
  </si>
  <si>
    <t>HT1</t>
  </si>
  <si>
    <t>Wasserstand abgesenkt</t>
  </si>
  <si>
    <t>PA9-BR-Lei-0001</t>
  </si>
  <si>
    <t>Pumpstation Hippberg</t>
  </si>
  <si>
    <t>PA9-BR-Lei-0002</t>
  </si>
  <si>
    <t>Br. Großgartach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</si>
  <si>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 xml:space="preserve">)freilüften
Wasserstand abgesenkt
</t>
    </r>
  </si>
  <si>
    <t>PA9-BR-Lei-0003</t>
  </si>
  <si>
    <t>Br. Ackerwiesen</t>
  </si>
  <si>
    <t>PA9-BR-Lei-0004</t>
  </si>
  <si>
    <t>Br. Klingelbrunnen</t>
  </si>
  <si>
    <t>PA9-BR-Lei-0005</t>
  </si>
  <si>
    <t>Br. Säubruch 2</t>
  </si>
  <si>
    <t>PA9-BR-Lei-0006</t>
  </si>
  <si>
    <t>Br. Säubruch 1</t>
  </si>
  <si>
    <t>messkne</t>
  </si>
  <si>
    <t>messart</t>
  </si>
  <si>
    <t>febolab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</si>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</sst>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name val="Calibri"/>
      <charset val="1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Calibri"/>
      <family val="2"/>
    </font>
    <font>
      <vertAlign val="subscript"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22" fontId="2" fillId="0" borderId="2" xfId="0" applyNumberFormat="1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2" fontId="1" fillId="0" borderId="2" xfId="0" applyNumberFormat="1" applyFont="1" applyBorder="1" applyAlignment="1">
      <alignment horizontal="left" vertical="top" wrapText="1"/>
    </xf>
    <xf numFmtId="22" fontId="1" fillId="0" borderId="2" xfId="0" applyNumberFormat="1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22" fontId="1" fillId="2" borderId="2" xfId="0" applyNumberFormat="1" applyFont="1" applyFill="1" applyBorder="1" applyAlignment="1">
      <alignment horizontal="left" vertical="top" wrapText="1"/>
    </xf>
    <xf numFmtId="2" fontId="1" fillId="2" borderId="2" xfId="0" applyNumberFormat="1" applyFont="1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opLeftCell="B1" zoomScaleNormal="100" workbookViewId="0">
      <selection activeCell="O2" sqref="O2:P34"/>
    </sheetView>
  </sheetViews>
  <sheetFormatPr baseColWidth="10" defaultColWidth="12.28515625" defaultRowHeight="15" customHeight="1" x14ac:dyDescent="0.25"/>
  <cols>
    <col min="1" max="1" width="13.7109375" style="1" bestFit="1" customWidth="1"/>
    <col min="2" max="2" width="28.28515625" style="1" customWidth="1"/>
    <col min="3" max="3" width="19.7109375" style="1" customWidth="1"/>
    <col min="4" max="4" width="18.5703125" style="1" customWidth="1"/>
    <col min="5" max="5" width="19.42578125" style="1" customWidth="1"/>
    <col min="6" max="6" width="17.7109375" style="1" customWidth="1"/>
    <col min="7" max="7" width="18.28515625" style="1" customWidth="1"/>
    <col min="8" max="9" width="21.28515625" style="1" customWidth="1"/>
    <col min="10" max="10" width="12.5703125" style="1" customWidth="1"/>
    <col min="11" max="12" width="11.28515625" style="1" customWidth="1"/>
    <col min="13" max="13" width="20.28515625" style="1" customWidth="1"/>
    <col min="14" max="14" width="16" style="1" customWidth="1"/>
    <col min="15" max="16384" width="12.28515625" style="1"/>
  </cols>
  <sheetData>
    <row r="1" spans="1:16" ht="15" customHeight="1" x14ac:dyDescent="0.25">
      <c r="A1" s="3" t="s">
        <v>18</v>
      </c>
      <c r="B1" s="3" t="s">
        <v>21</v>
      </c>
      <c r="C1" s="2" t="s">
        <v>17</v>
      </c>
      <c r="D1" s="2" t="s">
        <v>16</v>
      </c>
      <c r="E1" s="2" t="s">
        <v>15</v>
      </c>
      <c r="F1" s="2" t="s">
        <v>14</v>
      </c>
      <c r="G1" s="2" t="s">
        <v>13</v>
      </c>
      <c r="H1" s="2" t="s">
        <v>12</v>
      </c>
      <c r="I1" s="2"/>
      <c r="J1" s="2" t="s">
        <v>11</v>
      </c>
      <c r="K1" s="2" t="s">
        <v>10</v>
      </c>
      <c r="L1" s="2"/>
      <c r="M1" s="2" t="s">
        <v>9</v>
      </c>
      <c r="N1" s="3" t="s">
        <v>20</v>
      </c>
    </row>
    <row r="2" spans="1:16" ht="21.6" customHeight="1" x14ac:dyDescent="0.25">
      <c r="A2" s="3" t="s">
        <v>19</v>
      </c>
      <c r="B2" s="3" t="s">
        <v>21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22</v>
      </c>
      <c r="J2" s="3" t="s">
        <v>6</v>
      </c>
      <c r="K2" s="3" t="s">
        <v>7</v>
      </c>
      <c r="L2" s="3" t="s">
        <v>23</v>
      </c>
      <c r="M2" s="3" t="s">
        <v>8</v>
      </c>
      <c r="N2" s="3" t="s">
        <v>20</v>
      </c>
      <c r="O2" s="8" t="s">
        <v>100</v>
      </c>
      <c r="P2" s="8" t="s">
        <v>101</v>
      </c>
    </row>
    <row r="3" spans="1:16" ht="15" customHeight="1" x14ac:dyDescent="0.25">
      <c r="A3" s="8" t="s">
        <v>25</v>
      </c>
      <c r="B3" s="8" t="s">
        <v>26</v>
      </c>
      <c r="C3" s="5">
        <v>45609.399305555555</v>
      </c>
      <c r="D3" s="6">
        <v>3.77</v>
      </c>
      <c r="E3" s="9">
        <f>(185.04-D3)</f>
        <v>181.26999999999998</v>
      </c>
      <c r="F3" s="6"/>
      <c r="G3" s="7">
        <v>12.7</v>
      </c>
      <c r="H3" s="4">
        <v>1007</v>
      </c>
      <c r="I3" s="4"/>
      <c r="J3" s="7">
        <v>6.3</v>
      </c>
      <c r="K3" s="6">
        <v>7.14</v>
      </c>
      <c r="L3" s="9" t="s">
        <v>41</v>
      </c>
      <c r="M3" s="8"/>
      <c r="N3" s="8" t="s">
        <v>40</v>
      </c>
      <c r="O3" s="8" t="s">
        <v>102</v>
      </c>
      <c r="P3" s="8" t="s">
        <v>103</v>
      </c>
    </row>
    <row r="4" spans="1:16" ht="15" customHeight="1" x14ac:dyDescent="0.25">
      <c r="A4" s="8" t="s">
        <v>27</v>
      </c>
      <c r="B4" s="8" t="s">
        <v>28</v>
      </c>
      <c r="C4" s="5">
        <v>45609.354166666664</v>
      </c>
      <c r="D4" s="6">
        <v>4.46</v>
      </c>
      <c r="E4" s="9">
        <f>(186.72-D4)</f>
        <v>182.26</v>
      </c>
      <c r="F4" s="6"/>
      <c r="G4" s="7">
        <v>13.3</v>
      </c>
      <c r="H4" s="4">
        <v>898</v>
      </c>
      <c r="I4" s="4"/>
      <c r="J4" s="7">
        <v>6.1</v>
      </c>
      <c r="K4" s="6">
        <v>7.18</v>
      </c>
      <c r="L4" s="9" t="s">
        <v>24</v>
      </c>
      <c r="M4" s="8"/>
      <c r="N4" s="8" t="s">
        <v>40</v>
      </c>
      <c r="O4" s="8" t="s">
        <v>102</v>
      </c>
      <c r="P4" s="8" t="s">
        <v>103</v>
      </c>
    </row>
    <row r="5" spans="1:16" ht="15" customHeight="1" x14ac:dyDescent="0.25">
      <c r="A5" s="8" t="s">
        <v>29</v>
      </c>
      <c r="B5" s="8" t="s">
        <v>33</v>
      </c>
      <c r="C5" s="5">
        <v>45609.375</v>
      </c>
      <c r="D5" s="6">
        <v>4.46</v>
      </c>
      <c r="E5" s="9">
        <f>(186.64-D5)</f>
        <v>182.17999999999998</v>
      </c>
      <c r="F5" s="6"/>
      <c r="G5" s="7">
        <v>13.4</v>
      </c>
      <c r="H5" s="4">
        <v>927</v>
      </c>
      <c r="I5" s="4"/>
      <c r="J5" s="7">
        <v>5.6</v>
      </c>
      <c r="K5" s="6">
        <v>7.14</v>
      </c>
      <c r="L5" s="9" t="s">
        <v>24</v>
      </c>
      <c r="M5" s="8" t="s">
        <v>38</v>
      </c>
      <c r="N5" s="8" t="s">
        <v>40</v>
      </c>
      <c r="O5" s="8" t="s">
        <v>102</v>
      </c>
      <c r="P5" s="8" t="s">
        <v>103</v>
      </c>
    </row>
    <row r="6" spans="1:16" ht="23.25" customHeight="1" x14ac:dyDescent="0.25">
      <c r="A6" s="8" t="s">
        <v>34</v>
      </c>
      <c r="B6" s="8" t="s">
        <v>35</v>
      </c>
      <c r="C6" s="5">
        <v>45608.444444444445</v>
      </c>
      <c r="D6" s="9" t="s">
        <v>36</v>
      </c>
      <c r="E6" s="9" t="s">
        <v>32</v>
      </c>
      <c r="F6" s="6"/>
      <c r="G6" s="7">
        <v>11</v>
      </c>
      <c r="H6" s="4">
        <v>817</v>
      </c>
      <c r="I6" s="4"/>
      <c r="J6" s="7">
        <v>5.8</v>
      </c>
      <c r="K6" s="6">
        <v>7.21</v>
      </c>
      <c r="L6" s="9" t="s">
        <v>42</v>
      </c>
      <c r="M6" s="8" t="s">
        <v>37</v>
      </c>
      <c r="N6" s="8" t="s">
        <v>40</v>
      </c>
      <c r="O6" s="8" t="s">
        <v>102</v>
      </c>
      <c r="P6" s="8" t="s">
        <v>103</v>
      </c>
    </row>
    <row r="7" spans="1:16" ht="15" customHeight="1" x14ac:dyDescent="0.25">
      <c r="A7" s="8" t="s">
        <v>30</v>
      </c>
      <c r="B7" s="8" t="s">
        <v>31</v>
      </c>
      <c r="C7" s="5">
        <v>45608.5625</v>
      </c>
      <c r="D7" s="6">
        <v>12.03</v>
      </c>
      <c r="E7" s="9" t="s">
        <v>32</v>
      </c>
      <c r="F7" s="6"/>
      <c r="G7" s="7">
        <v>10.7</v>
      </c>
      <c r="H7" s="4">
        <v>961</v>
      </c>
      <c r="I7" s="4"/>
      <c r="J7" s="7">
        <v>5.4</v>
      </c>
      <c r="K7" s="6">
        <v>6.97</v>
      </c>
      <c r="L7" s="9" t="s">
        <v>24</v>
      </c>
      <c r="M7" s="8"/>
      <c r="N7" s="8" t="s">
        <v>39</v>
      </c>
      <c r="O7" s="8" t="s">
        <v>102</v>
      </c>
      <c r="P7" s="8" t="s">
        <v>103</v>
      </c>
    </row>
    <row r="8" spans="1:16" ht="15" customHeight="1" x14ac:dyDescent="0.25">
      <c r="A8" s="8" t="s">
        <v>43</v>
      </c>
      <c r="B8" s="8" t="s">
        <v>44</v>
      </c>
      <c r="C8" s="13">
        <v>45608.46875</v>
      </c>
      <c r="D8" s="9"/>
      <c r="E8" s="9"/>
      <c r="F8" s="9"/>
      <c r="G8" s="11"/>
      <c r="H8" s="8"/>
      <c r="I8" s="8"/>
      <c r="J8" s="11"/>
      <c r="K8" s="9"/>
      <c r="L8" s="9" t="s">
        <v>49</v>
      </c>
      <c r="M8" s="8" t="s">
        <v>50</v>
      </c>
      <c r="N8" s="8" t="s">
        <v>39</v>
      </c>
      <c r="O8" s="8" t="s">
        <v>102</v>
      </c>
      <c r="P8" s="8" t="s">
        <v>103</v>
      </c>
    </row>
    <row r="9" spans="1:16" ht="15" customHeight="1" x14ac:dyDescent="0.25">
      <c r="A9" s="12" t="s">
        <v>46</v>
      </c>
      <c r="B9" s="12" t="s">
        <v>47</v>
      </c>
      <c r="C9" s="13">
        <v>45608.510416666664</v>
      </c>
      <c r="D9" s="12">
        <v>1.45</v>
      </c>
      <c r="E9" s="12" t="s">
        <v>32</v>
      </c>
      <c r="F9" s="11"/>
      <c r="G9" s="12">
        <v>11.2</v>
      </c>
      <c r="H9" s="12">
        <v>942</v>
      </c>
      <c r="I9" s="12"/>
      <c r="J9" s="15">
        <v>6</v>
      </c>
      <c r="K9" s="14">
        <v>7.2</v>
      </c>
      <c r="L9" s="12" t="s">
        <v>24</v>
      </c>
      <c r="M9" s="12"/>
      <c r="N9" s="12" t="s">
        <v>40</v>
      </c>
      <c r="O9" s="8" t="s">
        <v>102</v>
      </c>
      <c r="P9" s="8" t="s">
        <v>103</v>
      </c>
    </row>
    <row r="10" spans="1:16" ht="15" customHeight="1" x14ac:dyDescent="0.25">
      <c r="A10" s="8" t="s">
        <v>51</v>
      </c>
      <c r="B10" s="8" t="s">
        <v>52</v>
      </c>
      <c r="C10" s="10">
        <v>45601.479166666664</v>
      </c>
      <c r="D10" s="9"/>
      <c r="E10" s="9"/>
      <c r="F10" s="11">
        <v>9.0500000000000007</v>
      </c>
      <c r="G10" s="11">
        <v>10.8</v>
      </c>
      <c r="H10" s="8">
        <v>718</v>
      </c>
      <c r="I10" s="8"/>
      <c r="J10" s="11">
        <v>6.6</v>
      </c>
      <c r="K10" s="9">
        <v>7.36</v>
      </c>
      <c r="L10" s="9" t="s">
        <v>24</v>
      </c>
      <c r="M10" s="8" t="s">
        <v>45</v>
      </c>
      <c r="N10" s="8" t="s">
        <v>48</v>
      </c>
      <c r="O10" s="8" t="s">
        <v>102</v>
      </c>
      <c r="P10" s="8" t="s">
        <v>103</v>
      </c>
    </row>
    <row r="11" spans="1:16" ht="15" customHeight="1" x14ac:dyDescent="0.25">
      <c r="A11" s="8" t="s">
        <v>53</v>
      </c>
      <c r="B11" s="8" t="s">
        <v>54</v>
      </c>
      <c r="C11" s="10">
        <v>45601.5</v>
      </c>
      <c r="D11" s="9"/>
      <c r="E11" s="9"/>
      <c r="F11" s="11">
        <v>4.72</v>
      </c>
      <c r="G11" s="11">
        <v>10.9</v>
      </c>
      <c r="H11" s="8">
        <v>684</v>
      </c>
      <c r="I11" s="8"/>
      <c r="J11" s="11">
        <v>6.4</v>
      </c>
      <c r="K11" s="9">
        <v>7.29</v>
      </c>
      <c r="L11" s="9" t="s">
        <v>24</v>
      </c>
      <c r="M11" s="8" t="s">
        <v>45</v>
      </c>
      <c r="N11" s="8" t="s">
        <v>48</v>
      </c>
      <c r="O11" s="8" t="s">
        <v>102</v>
      </c>
      <c r="P11" s="8" t="s">
        <v>103</v>
      </c>
    </row>
    <row r="12" spans="1:16" ht="15" customHeight="1" x14ac:dyDescent="0.25">
      <c r="A12" s="8" t="s">
        <v>51</v>
      </c>
      <c r="B12" s="8" t="s">
        <v>52</v>
      </c>
      <c r="C12" s="10">
        <v>45607.611111111109</v>
      </c>
      <c r="D12" s="9"/>
      <c r="E12" s="9"/>
      <c r="F12" s="11">
        <v>8.8000000000000007</v>
      </c>
      <c r="G12" s="11">
        <v>10.8</v>
      </c>
      <c r="H12" s="8">
        <v>769</v>
      </c>
      <c r="I12" s="8"/>
      <c r="J12" s="11">
        <v>7.2</v>
      </c>
      <c r="K12" s="9">
        <v>7.25</v>
      </c>
      <c r="L12" s="9" t="s">
        <v>24</v>
      </c>
      <c r="M12" s="8" t="s">
        <v>45</v>
      </c>
      <c r="N12" s="8" t="s">
        <v>40</v>
      </c>
      <c r="O12" s="8" t="s">
        <v>102</v>
      </c>
      <c r="P12" s="8" t="s">
        <v>103</v>
      </c>
    </row>
    <row r="13" spans="1:16" ht="15" customHeight="1" x14ac:dyDescent="0.25">
      <c r="A13" s="8" t="s">
        <v>53</v>
      </c>
      <c r="B13" s="8" t="s">
        <v>54</v>
      </c>
      <c r="C13" s="10">
        <v>45607.631944444445</v>
      </c>
      <c r="D13" s="9"/>
      <c r="E13" s="9"/>
      <c r="F13" s="11">
        <v>4.72</v>
      </c>
      <c r="G13" s="11">
        <v>10.9</v>
      </c>
      <c r="H13" s="8">
        <v>733</v>
      </c>
      <c r="I13" s="8"/>
      <c r="J13" s="11">
        <v>6.5</v>
      </c>
      <c r="K13" s="9">
        <v>7.22</v>
      </c>
      <c r="L13" s="9" t="s">
        <v>24</v>
      </c>
      <c r="M13" s="8" t="s">
        <v>45</v>
      </c>
      <c r="N13" s="8" t="s">
        <v>40</v>
      </c>
      <c r="O13" s="8" t="s">
        <v>102</v>
      </c>
      <c r="P13" s="8" t="s">
        <v>103</v>
      </c>
    </row>
    <row r="14" spans="1:16" ht="15" customHeight="1" x14ac:dyDescent="0.25">
      <c r="A14" s="8" t="s">
        <v>55</v>
      </c>
      <c r="B14" s="8" t="s">
        <v>56</v>
      </c>
      <c r="C14" s="10">
        <v>45607.552083333336</v>
      </c>
      <c r="D14" s="9">
        <v>1.21</v>
      </c>
      <c r="E14" s="9" t="s">
        <v>32</v>
      </c>
      <c r="F14" s="9">
        <v>0.05</v>
      </c>
      <c r="G14" s="11">
        <v>11.6</v>
      </c>
      <c r="H14" s="8">
        <v>543</v>
      </c>
      <c r="I14" s="8"/>
      <c r="J14" s="11">
        <v>7.6</v>
      </c>
      <c r="K14" s="9">
        <v>7.31</v>
      </c>
      <c r="L14" s="9" t="s">
        <v>24</v>
      </c>
      <c r="M14" s="8"/>
      <c r="N14" s="8" t="s">
        <v>40</v>
      </c>
      <c r="O14" s="8" t="s">
        <v>102</v>
      </c>
      <c r="P14" s="8" t="s">
        <v>103</v>
      </c>
    </row>
    <row r="15" spans="1:16" ht="15" customHeight="1" x14ac:dyDescent="0.25">
      <c r="A15" s="8" t="s">
        <v>57</v>
      </c>
      <c r="B15" s="8" t="s">
        <v>58</v>
      </c>
      <c r="C15" s="10">
        <v>45609.458333333336</v>
      </c>
      <c r="D15" s="9">
        <v>5.8</v>
      </c>
      <c r="E15" s="9">
        <v>175</v>
      </c>
      <c r="F15" s="9"/>
      <c r="G15" s="11">
        <v>13.3</v>
      </c>
      <c r="H15" s="8">
        <v>1113</v>
      </c>
      <c r="I15" s="8"/>
      <c r="J15" s="11">
        <v>3.8</v>
      </c>
      <c r="K15" s="9">
        <v>6.99</v>
      </c>
      <c r="L15" s="9" t="s">
        <v>24</v>
      </c>
      <c r="M15" s="12" t="s">
        <v>38</v>
      </c>
      <c r="N15" s="12" t="s">
        <v>40</v>
      </c>
      <c r="O15" s="8" t="s">
        <v>102</v>
      </c>
      <c r="P15" s="8" t="s">
        <v>103</v>
      </c>
    </row>
    <row r="16" spans="1:16" ht="15" customHeight="1" x14ac:dyDescent="0.25">
      <c r="A16" s="8" t="s">
        <v>59</v>
      </c>
      <c r="B16" s="8" t="s">
        <v>60</v>
      </c>
      <c r="C16" s="10">
        <v>45609.479166666664</v>
      </c>
      <c r="D16" s="9">
        <v>3.94</v>
      </c>
      <c r="E16" s="9">
        <v>176.68</v>
      </c>
      <c r="F16" s="9"/>
      <c r="G16" s="11">
        <v>13.2</v>
      </c>
      <c r="H16" s="8">
        <v>1091</v>
      </c>
      <c r="I16" s="8"/>
      <c r="J16" s="11">
        <v>7.3</v>
      </c>
      <c r="K16" s="9">
        <v>7.04</v>
      </c>
      <c r="L16" s="9" t="s">
        <v>24</v>
      </c>
      <c r="M16" s="8"/>
      <c r="N16" s="12" t="s">
        <v>40</v>
      </c>
      <c r="O16" s="8" t="s">
        <v>102</v>
      </c>
      <c r="P16" s="8" t="s">
        <v>103</v>
      </c>
    </row>
    <row r="17" spans="1:16" ht="15" customHeight="1" x14ac:dyDescent="0.25">
      <c r="A17" s="8" t="s">
        <v>61</v>
      </c>
      <c r="B17" s="8" t="s">
        <v>62</v>
      </c>
      <c r="C17" s="10">
        <v>45609.5</v>
      </c>
      <c r="D17" s="9">
        <v>3.8</v>
      </c>
      <c r="E17" s="9">
        <v>177.04999999999998</v>
      </c>
      <c r="F17" s="9"/>
      <c r="G17" s="11">
        <v>13.2</v>
      </c>
      <c r="H17" s="8">
        <v>1031</v>
      </c>
      <c r="I17" s="8"/>
      <c r="J17" s="11">
        <v>2.8</v>
      </c>
      <c r="K17" s="9">
        <v>7.13</v>
      </c>
      <c r="L17" s="9" t="s">
        <v>24</v>
      </c>
      <c r="M17" s="8"/>
      <c r="N17" s="12" t="s">
        <v>40</v>
      </c>
      <c r="O17" s="8" t="s">
        <v>102</v>
      </c>
      <c r="P17" s="8" t="s">
        <v>103</v>
      </c>
    </row>
    <row r="18" spans="1:16" ht="15" customHeight="1" x14ac:dyDescent="0.25">
      <c r="A18" s="8" t="s">
        <v>63</v>
      </c>
      <c r="B18" s="8" t="s">
        <v>64</v>
      </c>
      <c r="C18" s="10">
        <v>45609.520833333336</v>
      </c>
      <c r="D18" s="9">
        <v>3.79</v>
      </c>
      <c r="E18" s="9">
        <v>177.21</v>
      </c>
      <c r="F18" s="9"/>
      <c r="G18" s="11">
        <v>13.2</v>
      </c>
      <c r="H18" s="8">
        <v>1054</v>
      </c>
      <c r="I18" s="8"/>
      <c r="J18" s="11">
        <v>4.5</v>
      </c>
      <c r="K18" s="9">
        <v>7.07</v>
      </c>
      <c r="L18" s="9" t="s">
        <v>65</v>
      </c>
      <c r="M18" s="8"/>
      <c r="N18" s="12" t="s">
        <v>40</v>
      </c>
      <c r="O18" s="8" t="s">
        <v>102</v>
      </c>
      <c r="P18" s="8" t="s">
        <v>103</v>
      </c>
    </row>
    <row r="19" spans="1:16" ht="15" customHeight="1" x14ac:dyDescent="0.25">
      <c r="A19" s="8" t="s">
        <v>66</v>
      </c>
      <c r="B19" s="8" t="s">
        <v>67</v>
      </c>
      <c r="C19" s="10">
        <v>45609.541666666664</v>
      </c>
      <c r="D19" s="9">
        <v>3.7</v>
      </c>
      <c r="E19" s="9">
        <v>177.55</v>
      </c>
      <c r="F19" s="9"/>
      <c r="G19" s="11">
        <v>13.5</v>
      </c>
      <c r="H19" s="8">
        <v>1095</v>
      </c>
      <c r="I19" s="8"/>
      <c r="J19" s="11">
        <v>4.2</v>
      </c>
      <c r="K19" s="9">
        <v>7.03</v>
      </c>
      <c r="L19" s="9" t="s">
        <v>24</v>
      </c>
      <c r="M19" s="8"/>
      <c r="N19" s="12" t="s">
        <v>40</v>
      </c>
      <c r="O19" s="8" t="s">
        <v>102</v>
      </c>
      <c r="P19" s="8" t="s">
        <v>103</v>
      </c>
    </row>
    <row r="20" spans="1:16" ht="15" customHeight="1" x14ac:dyDescent="0.25">
      <c r="A20" s="12" t="s">
        <v>68</v>
      </c>
      <c r="B20" s="12" t="s">
        <v>69</v>
      </c>
      <c r="C20" s="10">
        <v>45609.621527777781</v>
      </c>
      <c r="D20" s="14">
        <v>2.2000000000000002</v>
      </c>
      <c r="E20" s="12" t="s">
        <v>32</v>
      </c>
      <c r="F20" s="12"/>
      <c r="G20" s="15">
        <v>14.1</v>
      </c>
      <c r="H20" s="12">
        <v>1077</v>
      </c>
      <c r="I20" s="12"/>
      <c r="J20" s="15">
        <v>6</v>
      </c>
      <c r="K20" s="14">
        <v>7.1</v>
      </c>
      <c r="L20" s="12" t="s">
        <v>24</v>
      </c>
      <c r="M20" s="12"/>
      <c r="N20" s="12" t="s">
        <v>40</v>
      </c>
      <c r="O20" s="8" t="s">
        <v>102</v>
      </c>
      <c r="P20" s="8" t="s">
        <v>103</v>
      </c>
    </row>
    <row r="21" spans="1:16" ht="15" customHeight="1" x14ac:dyDescent="0.25">
      <c r="A21" s="12" t="s">
        <v>70</v>
      </c>
      <c r="B21" s="12" t="s">
        <v>71</v>
      </c>
      <c r="C21" s="10">
        <v>45609.59375</v>
      </c>
      <c r="D21" s="14">
        <v>2.34</v>
      </c>
      <c r="E21" s="12" t="s">
        <v>32</v>
      </c>
      <c r="F21" s="12"/>
      <c r="G21" s="12">
        <v>12.6</v>
      </c>
      <c r="H21" s="12">
        <v>956</v>
      </c>
      <c r="I21" s="12"/>
      <c r="J21" s="12">
        <v>5.4</v>
      </c>
      <c r="K21" s="12">
        <v>7.07</v>
      </c>
      <c r="L21" s="9" t="s">
        <v>24</v>
      </c>
      <c r="M21" s="12" t="s">
        <v>38</v>
      </c>
      <c r="N21" s="12" t="s">
        <v>40</v>
      </c>
      <c r="O21" s="8" t="s">
        <v>102</v>
      </c>
      <c r="P21" s="8" t="s">
        <v>103</v>
      </c>
    </row>
    <row r="22" spans="1:16" ht="15" customHeight="1" x14ac:dyDescent="0.25">
      <c r="A22" s="12" t="s">
        <v>72</v>
      </c>
      <c r="B22" s="12" t="s">
        <v>73</v>
      </c>
      <c r="C22" s="10">
        <v>45609.565972222219</v>
      </c>
      <c r="D22" s="14">
        <v>3</v>
      </c>
      <c r="E22" s="12" t="s">
        <v>32</v>
      </c>
      <c r="F22" s="12"/>
      <c r="G22" s="15">
        <v>13</v>
      </c>
      <c r="H22" s="12">
        <v>984</v>
      </c>
      <c r="I22" s="12"/>
      <c r="J22" s="15">
        <v>3.4</v>
      </c>
      <c r="K22" s="14">
        <v>7.1</v>
      </c>
      <c r="L22" s="12" t="s">
        <v>24</v>
      </c>
      <c r="M22" s="12"/>
      <c r="N22" s="12" t="s">
        <v>40</v>
      </c>
      <c r="O22" s="8" t="s">
        <v>102</v>
      </c>
      <c r="P22" s="8" t="s">
        <v>103</v>
      </c>
    </row>
    <row r="23" spans="1:16" ht="15" customHeight="1" x14ac:dyDescent="0.25">
      <c r="A23" s="8" t="s">
        <v>74</v>
      </c>
      <c r="B23" s="8" t="s">
        <v>75</v>
      </c>
      <c r="C23" s="10">
        <v>45608.371527777781</v>
      </c>
      <c r="D23" s="9">
        <v>1.7</v>
      </c>
      <c r="E23" s="9">
        <v>155.94</v>
      </c>
      <c r="F23" s="9"/>
      <c r="G23" s="11"/>
      <c r="H23" s="8"/>
      <c r="I23" s="8"/>
      <c r="J23" s="11"/>
      <c r="K23" s="9"/>
      <c r="L23" s="9"/>
      <c r="M23" s="8"/>
      <c r="N23" s="8"/>
      <c r="O23" s="8" t="s">
        <v>102</v>
      </c>
      <c r="P23" s="8" t="s">
        <v>103</v>
      </c>
    </row>
    <row r="24" spans="1:16" ht="15" customHeight="1" x14ac:dyDescent="0.25">
      <c r="A24" s="8" t="s">
        <v>76</v>
      </c>
      <c r="B24" s="8" t="s">
        <v>77</v>
      </c>
      <c r="C24" s="10">
        <v>45608.375</v>
      </c>
      <c r="D24" s="9">
        <v>2.21</v>
      </c>
      <c r="E24" s="9">
        <v>156.03</v>
      </c>
      <c r="F24" s="9"/>
      <c r="G24" s="11"/>
      <c r="H24" s="8"/>
      <c r="I24" s="8"/>
      <c r="J24" s="11"/>
      <c r="K24" s="9"/>
      <c r="L24" s="9"/>
      <c r="M24" s="8"/>
      <c r="N24" s="8"/>
      <c r="O24" s="8" t="s">
        <v>102</v>
      </c>
      <c r="P24" s="8" t="s">
        <v>103</v>
      </c>
    </row>
    <row r="25" spans="1:16" ht="15" customHeight="1" x14ac:dyDescent="0.25">
      <c r="A25" s="8" t="s">
        <v>78</v>
      </c>
      <c r="B25" s="8" t="s">
        <v>79</v>
      </c>
      <c r="C25" s="10">
        <v>45608.34375</v>
      </c>
      <c r="D25" s="9">
        <v>2.92</v>
      </c>
      <c r="E25" s="9">
        <v>155.34</v>
      </c>
      <c r="F25" s="9"/>
      <c r="G25" s="11">
        <v>13.5</v>
      </c>
      <c r="H25" s="8">
        <v>958</v>
      </c>
      <c r="I25" s="8"/>
      <c r="J25" s="11">
        <v>1.3</v>
      </c>
      <c r="K25" s="9">
        <v>7</v>
      </c>
      <c r="L25" s="9" t="s">
        <v>24</v>
      </c>
      <c r="M25" s="8"/>
      <c r="N25" s="8" t="s">
        <v>40</v>
      </c>
      <c r="O25" s="8" t="s">
        <v>102</v>
      </c>
      <c r="P25" s="8" t="s">
        <v>103</v>
      </c>
    </row>
    <row r="26" spans="1:16" ht="15" customHeight="1" x14ac:dyDescent="0.25">
      <c r="A26" s="8" t="s">
        <v>80</v>
      </c>
      <c r="B26" s="8" t="s">
        <v>81</v>
      </c>
      <c r="C26" s="10">
        <v>45608.319444444445</v>
      </c>
      <c r="D26" s="9">
        <v>2.6</v>
      </c>
      <c r="E26" s="9">
        <v>155.35</v>
      </c>
      <c r="F26" s="9"/>
      <c r="G26" s="11">
        <v>13</v>
      </c>
      <c r="H26" s="8">
        <v>977</v>
      </c>
      <c r="I26" s="8"/>
      <c r="J26" s="11">
        <v>1.3</v>
      </c>
      <c r="K26" s="9">
        <v>7.02</v>
      </c>
      <c r="L26" s="9" t="s">
        <v>24</v>
      </c>
      <c r="M26" s="8"/>
      <c r="N26" s="8" t="s">
        <v>40</v>
      </c>
      <c r="O26" s="8" t="s">
        <v>102</v>
      </c>
      <c r="P26" s="8" t="s">
        <v>103</v>
      </c>
    </row>
    <row r="27" spans="1:16" ht="15" customHeight="1" x14ac:dyDescent="0.25">
      <c r="A27" s="8" t="s">
        <v>82</v>
      </c>
      <c r="B27" s="8" t="s">
        <v>83</v>
      </c>
      <c r="C27" s="10">
        <v>45608.368055555555</v>
      </c>
      <c r="D27" s="9">
        <v>2.21</v>
      </c>
      <c r="E27" s="9">
        <v>157.38999999999999</v>
      </c>
      <c r="F27" s="9"/>
      <c r="G27" s="11">
        <v>13</v>
      </c>
      <c r="H27" s="8">
        <v>1080</v>
      </c>
      <c r="I27" s="8"/>
      <c r="J27" s="11">
        <v>7.4</v>
      </c>
      <c r="K27" s="9">
        <v>7.1</v>
      </c>
      <c r="L27" s="9" t="s">
        <v>24</v>
      </c>
      <c r="M27" s="8"/>
      <c r="N27" s="8" t="s">
        <v>40</v>
      </c>
      <c r="O27" s="8" t="s">
        <v>102</v>
      </c>
      <c r="P27" s="8" t="s">
        <v>103</v>
      </c>
    </row>
    <row r="28" spans="1:16" ht="15" customHeight="1" x14ac:dyDescent="0.25">
      <c r="A28" s="8" t="s">
        <v>84</v>
      </c>
      <c r="B28" s="8" t="s">
        <v>85</v>
      </c>
      <c r="C28" s="10">
        <v>45607.510416666664</v>
      </c>
      <c r="D28" s="9">
        <v>19.36</v>
      </c>
      <c r="E28" s="9" t="s">
        <v>32</v>
      </c>
      <c r="F28" s="9"/>
      <c r="G28" s="11">
        <v>11.6</v>
      </c>
      <c r="H28" s="8">
        <v>972</v>
      </c>
      <c r="I28" s="8"/>
      <c r="J28" s="11">
        <v>8.4</v>
      </c>
      <c r="K28" s="9">
        <v>7.12</v>
      </c>
      <c r="L28" s="9" t="s">
        <v>24</v>
      </c>
      <c r="M28" s="8" t="s">
        <v>86</v>
      </c>
      <c r="N28" s="8" t="s">
        <v>40</v>
      </c>
      <c r="O28" s="8" t="s">
        <v>102</v>
      </c>
      <c r="P28" s="8" t="s">
        <v>103</v>
      </c>
    </row>
    <row r="29" spans="1:16" ht="15" customHeight="1" x14ac:dyDescent="0.25">
      <c r="A29" s="8" t="s">
        <v>87</v>
      </c>
      <c r="B29" s="8" t="s">
        <v>88</v>
      </c>
      <c r="C29" s="10">
        <v>45607.538194444445</v>
      </c>
      <c r="D29" s="9">
        <v>1.87</v>
      </c>
      <c r="E29" s="9" t="s">
        <v>32</v>
      </c>
      <c r="F29" s="9"/>
      <c r="G29" s="11">
        <v>12.2</v>
      </c>
      <c r="H29" s="8">
        <v>1086</v>
      </c>
      <c r="I29" s="8"/>
      <c r="J29" s="11">
        <v>5.6</v>
      </c>
      <c r="K29" s="9">
        <v>7.04</v>
      </c>
      <c r="L29" s="9" t="s">
        <v>24</v>
      </c>
      <c r="M29" s="8"/>
      <c r="N29" s="8" t="s">
        <v>40</v>
      </c>
      <c r="O29" s="8" t="s">
        <v>102</v>
      </c>
      <c r="P29" s="8" t="s">
        <v>103</v>
      </c>
    </row>
    <row r="30" spans="1:16" ht="15" customHeight="1" x14ac:dyDescent="0.25">
      <c r="A30" s="8" t="s">
        <v>89</v>
      </c>
      <c r="B30" s="8" t="s">
        <v>90</v>
      </c>
      <c r="C30" s="10">
        <v>45607.475694444445</v>
      </c>
      <c r="D30" s="9">
        <v>2.17</v>
      </c>
      <c r="E30" s="9" t="s">
        <v>32</v>
      </c>
      <c r="F30" s="9"/>
      <c r="G30" s="11">
        <v>12.4</v>
      </c>
      <c r="H30" s="8">
        <v>1001</v>
      </c>
      <c r="I30" s="8"/>
      <c r="J30" s="11">
        <v>2</v>
      </c>
      <c r="K30" s="9">
        <v>7.1</v>
      </c>
      <c r="L30" s="9" t="s">
        <v>24</v>
      </c>
      <c r="M30" s="8" t="s">
        <v>91</v>
      </c>
      <c r="N30" s="8" t="s">
        <v>40</v>
      </c>
      <c r="O30" s="8" t="s">
        <v>102</v>
      </c>
      <c r="P30" s="8" t="s">
        <v>103</v>
      </c>
    </row>
    <row r="31" spans="1:16" ht="15" customHeight="1" x14ac:dyDescent="0.25">
      <c r="A31" s="8" t="s">
        <v>92</v>
      </c>
      <c r="B31" s="8" t="s">
        <v>93</v>
      </c>
      <c r="C31" s="10">
        <v>45607.364583333336</v>
      </c>
      <c r="D31" s="9">
        <v>10.83</v>
      </c>
      <c r="E31" s="9" t="s">
        <v>32</v>
      </c>
      <c r="F31" s="9"/>
      <c r="G31" s="11">
        <v>12.4</v>
      </c>
      <c r="H31" s="8">
        <v>1029</v>
      </c>
      <c r="I31" s="8"/>
      <c r="J31" s="11">
        <v>2.2999999999999998</v>
      </c>
      <c r="K31" s="9">
        <v>7.16</v>
      </c>
      <c r="L31" s="9" t="s">
        <v>24</v>
      </c>
      <c r="M31" s="8" t="s">
        <v>86</v>
      </c>
      <c r="N31" s="8" t="s">
        <v>40</v>
      </c>
      <c r="O31" s="8" t="s">
        <v>102</v>
      </c>
      <c r="P31" s="8" t="s">
        <v>103</v>
      </c>
    </row>
    <row r="32" spans="1:16" ht="15" customHeight="1" x14ac:dyDescent="0.25">
      <c r="A32" s="8" t="s">
        <v>94</v>
      </c>
      <c r="B32" s="8" t="s">
        <v>95</v>
      </c>
      <c r="C32" s="10">
        <v>45607.440972222219</v>
      </c>
      <c r="D32" s="9">
        <v>2.21</v>
      </c>
      <c r="E32" s="9" t="s">
        <v>32</v>
      </c>
      <c r="F32" s="9"/>
      <c r="G32" s="11">
        <v>13</v>
      </c>
      <c r="H32" s="8">
        <v>1070</v>
      </c>
      <c r="I32" s="8"/>
      <c r="J32" s="11">
        <v>3.7</v>
      </c>
      <c r="K32" s="9">
        <v>7.06</v>
      </c>
      <c r="L32" s="9" t="s">
        <v>24</v>
      </c>
      <c r="M32" s="8"/>
      <c r="N32" s="8" t="s">
        <v>40</v>
      </c>
      <c r="O32" s="8" t="s">
        <v>102</v>
      </c>
      <c r="P32" s="8" t="s">
        <v>103</v>
      </c>
    </row>
    <row r="33" spans="1:16" ht="15" customHeight="1" x14ac:dyDescent="0.25">
      <c r="A33" s="8" t="s">
        <v>96</v>
      </c>
      <c r="B33" s="8" t="s">
        <v>97</v>
      </c>
      <c r="C33" s="10">
        <v>45607.409722222219</v>
      </c>
      <c r="D33" s="9">
        <v>2.4</v>
      </c>
      <c r="E33" s="9">
        <v>167.4</v>
      </c>
      <c r="F33" s="9"/>
      <c r="G33" s="11">
        <v>12.8</v>
      </c>
      <c r="H33" s="8">
        <v>1158</v>
      </c>
      <c r="I33" s="8"/>
      <c r="J33" s="11">
        <v>3.7</v>
      </c>
      <c r="K33" s="9">
        <v>7.04</v>
      </c>
      <c r="L33" s="9" t="s">
        <v>24</v>
      </c>
      <c r="M33" s="8"/>
      <c r="N33" s="8" t="s">
        <v>40</v>
      </c>
      <c r="O33" s="8" t="s">
        <v>102</v>
      </c>
      <c r="P33" s="8" t="s">
        <v>103</v>
      </c>
    </row>
    <row r="34" spans="1:16" ht="15" customHeight="1" x14ac:dyDescent="0.25">
      <c r="A34" s="8" t="s">
        <v>98</v>
      </c>
      <c r="B34" s="8" t="s">
        <v>99</v>
      </c>
      <c r="C34" s="10">
        <v>45607.805555555555</v>
      </c>
      <c r="D34" s="9">
        <v>3.57</v>
      </c>
      <c r="E34" s="9" t="s">
        <v>32</v>
      </c>
      <c r="F34" s="9"/>
      <c r="G34" s="11">
        <v>14.2</v>
      </c>
      <c r="H34" s="8">
        <v>1130</v>
      </c>
      <c r="I34" s="8"/>
      <c r="J34" s="11">
        <v>1.8</v>
      </c>
      <c r="K34" s="9">
        <v>7.03</v>
      </c>
      <c r="L34" s="9" t="s">
        <v>24</v>
      </c>
      <c r="M34" s="8"/>
      <c r="N34" s="8" t="s">
        <v>40</v>
      </c>
      <c r="O34" s="8" t="s">
        <v>102</v>
      </c>
      <c r="P34" s="8" t="s">
        <v>103</v>
      </c>
    </row>
  </sheetData>
  <phoneticPr fontId="3" type="noConversion"/>
  <pageMargins left="0.7" right="0.7" top="0.78740157499999996" bottom="0.78740157499999996" header="0.3" footer="0.3"/>
  <pageSetup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B655-FD09-4D20-B9CA-52CD3BA549F4}">
  <dimension ref="A1:P26"/>
  <sheetViews>
    <sheetView topLeftCell="A15" workbookViewId="0">
      <selection activeCell="O27" sqref="O27:P33"/>
    </sheetView>
  </sheetViews>
  <sheetFormatPr baseColWidth="10" defaultRowHeight="15" x14ac:dyDescent="0.25"/>
  <sheetData>
    <row r="1" spans="1:16" ht="21" x14ac:dyDescent="0.25">
      <c r="A1" s="3" t="s">
        <v>18</v>
      </c>
      <c r="B1" s="3" t="s">
        <v>21</v>
      </c>
      <c r="C1" s="2" t="s">
        <v>17</v>
      </c>
      <c r="D1" s="2" t="s">
        <v>16</v>
      </c>
      <c r="E1" s="2" t="s">
        <v>15</v>
      </c>
      <c r="F1" s="2" t="s">
        <v>14</v>
      </c>
      <c r="G1" s="2" t="s">
        <v>13</v>
      </c>
      <c r="H1" s="2" t="s">
        <v>12</v>
      </c>
      <c r="I1" s="2"/>
      <c r="J1" s="2" t="s">
        <v>11</v>
      </c>
      <c r="K1" s="2" t="s">
        <v>10</v>
      </c>
      <c r="L1" s="2"/>
      <c r="M1" s="2" t="s">
        <v>9</v>
      </c>
      <c r="N1" s="3" t="s">
        <v>20</v>
      </c>
      <c r="O1" s="8" t="s">
        <v>100</v>
      </c>
      <c r="P1" s="8" t="s">
        <v>101</v>
      </c>
    </row>
    <row r="2" spans="1:16" ht="21" x14ac:dyDescent="0.25">
      <c r="A2" s="8" t="s">
        <v>25</v>
      </c>
      <c r="B2" s="8" t="s">
        <v>26</v>
      </c>
      <c r="C2" s="5">
        <v>45609.399305555555</v>
      </c>
      <c r="D2" s="6">
        <v>3.77</v>
      </c>
      <c r="E2" s="9">
        <v>181.26999999999998</v>
      </c>
      <c r="F2" s="6"/>
      <c r="G2" s="7">
        <v>12.7</v>
      </c>
      <c r="H2" s="4">
        <v>1007</v>
      </c>
      <c r="I2" s="4"/>
      <c r="J2" s="7">
        <v>6.3</v>
      </c>
      <c r="K2" s="6">
        <v>7.14</v>
      </c>
      <c r="L2" s="9" t="s">
        <v>41</v>
      </c>
      <c r="M2" s="8"/>
      <c r="N2" s="8" t="s">
        <v>40</v>
      </c>
      <c r="O2" s="8" t="s">
        <v>102</v>
      </c>
      <c r="P2" s="8" t="s">
        <v>103</v>
      </c>
    </row>
    <row r="3" spans="1:16" ht="21" x14ac:dyDescent="0.25">
      <c r="A3" s="8" t="s">
        <v>27</v>
      </c>
      <c r="B3" s="8" t="s">
        <v>28</v>
      </c>
      <c r="C3" s="5">
        <v>45609.354166666664</v>
      </c>
      <c r="D3" s="6">
        <v>4.46</v>
      </c>
      <c r="E3" s="9">
        <v>182.26</v>
      </c>
      <c r="F3" s="6"/>
      <c r="G3" s="7">
        <v>13.3</v>
      </c>
      <c r="H3" s="4">
        <v>898</v>
      </c>
      <c r="I3" s="4"/>
      <c r="J3" s="7">
        <v>6.1</v>
      </c>
      <c r="K3" s="6">
        <v>7.18</v>
      </c>
      <c r="L3" s="9" t="s">
        <v>24</v>
      </c>
      <c r="M3" s="8"/>
      <c r="N3" s="8" t="s">
        <v>40</v>
      </c>
      <c r="O3" s="8" t="s">
        <v>102</v>
      </c>
      <c r="P3" s="8" t="s">
        <v>103</v>
      </c>
    </row>
    <row r="4" spans="1:16" ht="21" x14ac:dyDescent="0.25">
      <c r="A4" s="8" t="s">
        <v>29</v>
      </c>
      <c r="B4" s="8" t="s">
        <v>33</v>
      </c>
      <c r="C4" s="5">
        <v>45609.375</v>
      </c>
      <c r="D4" s="6">
        <v>4.46</v>
      </c>
      <c r="E4" s="9">
        <v>182.17999999999998</v>
      </c>
      <c r="F4" s="6"/>
      <c r="G4" s="7">
        <v>13.4</v>
      </c>
      <c r="H4" s="4">
        <v>927</v>
      </c>
      <c r="I4" s="4"/>
      <c r="J4" s="7">
        <v>5.6</v>
      </c>
      <c r="K4" s="6">
        <v>7.14</v>
      </c>
      <c r="L4" s="9" t="s">
        <v>24</v>
      </c>
      <c r="M4" s="8" t="s">
        <v>38</v>
      </c>
      <c r="N4" s="8" t="s">
        <v>40</v>
      </c>
      <c r="O4" s="8" t="s">
        <v>102</v>
      </c>
      <c r="P4" s="8" t="s">
        <v>103</v>
      </c>
    </row>
    <row r="5" spans="1:16" ht="42" x14ac:dyDescent="0.25">
      <c r="A5" s="8" t="s">
        <v>34</v>
      </c>
      <c r="B5" s="8" t="s">
        <v>35</v>
      </c>
      <c r="C5" s="5">
        <v>45608.444444444445</v>
      </c>
      <c r="D5" s="9" t="s">
        <v>36</v>
      </c>
      <c r="E5" s="9" t="s">
        <v>32</v>
      </c>
      <c r="F5" s="6"/>
      <c r="G5" s="7">
        <v>11</v>
      </c>
      <c r="H5" s="4">
        <v>817</v>
      </c>
      <c r="I5" s="4"/>
      <c r="J5" s="7">
        <v>5.8</v>
      </c>
      <c r="K5" s="6">
        <v>7.21</v>
      </c>
      <c r="L5" s="9" t="s">
        <v>42</v>
      </c>
      <c r="M5" s="8" t="s">
        <v>37</v>
      </c>
      <c r="N5" s="8" t="s">
        <v>40</v>
      </c>
      <c r="O5" s="8" t="s">
        <v>102</v>
      </c>
      <c r="P5" s="8" t="s">
        <v>103</v>
      </c>
    </row>
    <row r="6" spans="1:16" ht="21" x14ac:dyDescent="0.25">
      <c r="A6" s="8" t="s">
        <v>30</v>
      </c>
      <c r="B6" s="8" t="s">
        <v>31</v>
      </c>
      <c r="C6" s="5">
        <v>45608.5625</v>
      </c>
      <c r="D6" s="6">
        <v>12.03</v>
      </c>
      <c r="E6" s="9" t="s">
        <v>32</v>
      </c>
      <c r="F6" s="6"/>
      <c r="G6" s="7">
        <v>10.7</v>
      </c>
      <c r="H6" s="4">
        <v>961</v>
      </c>
      <c r="I6" s="4"/>
      <c r="J6" s="7">
        <v>5.4</v>
      </c>
      <c r="K6" s="6">
        <v>6.97</v>
      </c>
      <c r="L6" s="9" t="s">
        <v>24</v>
      </c>
      <c r="M6" s="8"/>
      <c r="N6" s="8" t="s">
        <v>39</v>
      </c>
      <c r="O6" s="8" t="s">
        <v>102</v>
      </c>
      <c r="P6" s="8" t="s">
        <v>103</v>
      </c>
    </row>
    <row r="7" spans="1:16" ht="64.5" x14ac:dyDescent="0.25">
      <c r="A7" s="8" t="s">
        <v>43</v>
      </c>
      <c r="B7" s="8" t="s">
        <v>44</v>
      </c>
      <c r="C7" s="13">
        <v>45608.46875</v>
      </c>
      <c r="D7" s="9"/>
      <c r="E7" s="9"/>
      <c r="F7" s="9"/>
      <c r="G7" s="11"/>
      <c r="H7" s="8"/>
      <c r="I7" s="8"/>
      <c r="J7" s="11"/>
      <c r="K7" s="9"/>
      <c r="L7" s="9" t="s">
        <v>49</v>
      </c>
      <c r="M7" s="8" t="s">
        <v>50</v>
      </c>
      <c r="N7" s="8" t="s">
        <v>39</v>
      </c>
      <c r="O7" s="8" t="s">
        <v>102</v>
      </c>
      <c r="P7" s="8" t="s">
        <v>103</v>
      </c>
    </row>
    <row r="8" spans="1:16" ht="31.5" x14ac:dyDescent="0.25">
      <c r="A8" s="12" t="s">
        <v>46</v>
      </c>
      <c r="B8" s="12" t="s">
        <v>47</v>
      </c>
      <c r="C8" s="13">
        <v>45608.510416666664</v>
      </c>
      <c r="D8" s="12">
        <v>1.45</v>
      </c>
      <c r="E8" s="12" t="s">
        <v>32</v>
      </c>
      <c r="F8" s="11"/>
      <c r="G8" s="12">
        <v>11.2</v>
      </c>
      <c r="H8" s="12">
        <v>942</v>
      </c>
      <c r="I8" s="12"/>
      <c r="J8" s="15">
        <v>6</v>
      </c>
      <c r="K8" s="14">
        <v>7.2</v>
      </c>
      <c r="L8" s="12" t="s">
        <v>24</v>
      </c>
      <c r="M8" s="12"/>
      <c r="N8" s="12" t="s">
        <v>40</v>
      </c>
      <c r="O8" s="8" t="s">
        <v>102</v>
      </c>
      <c r="P8" s="8" t="s">
        <v>103</v>
      </c>
    </row>
    <row r="9" spans="1:16" ht="33" x14ac:dyDescent="0.25">
      <c r="A9" s="8" t="s">
        <v>51</v>
      </c>
      <c r="B9" s="8" t="s">
        <v>52</v>
      </c>
      <c r="C9" s="10">
        <v>45601.479166666664</v>
      </c>
      <c r="D9" s="9"/>
      <c r="E9" s="9"/>
      <c r="F9" s="11">
        <v>9.0500000000000007</v>
      </c>
      <c r="G9" s="11">
        <v>10.8</v>
      </c>
      <c r="H9" s="8">
        <v>718</v>
      </c>
      <c r="I9" s="8"/>
      <c r="J9" s="11">
        <v>6.6</v>
      </c>
      <c r="K9" s="9">
        <v>7.36</v>
      </c>
      <c r="L9" s="9" t="s">
        <v>24</v>
      </c>
      <c r="M9" s="8" t="s">
        <v>45</v>
      </c>
      <c r="N9" s="8" t="s">
        <v>48</v>
      </c>
      <c r="O9" s="8" t="s">
        <v>102</v>
      </c>
      <c r="P9" s="8" t="s">
        <v>103</v>
      </c>
    </row>
    <row r="10" spans="1:16" ht="33" x14ac:dyDescent="0.25">
      <c r="A10" s="8" t="s">
        <v>53</v>
      </c>
      <c r="B10" s="8" t="s">
        <v>54</v>
      </c>
      <c r="C10" s="10">
        <v>45601.5</v>
      </c>
      <c r="D10" s="9"/>
      <c r="E10" s="9"/>
      <c r="F10" s="11">
        <v>4.72</v>
      </c>
      <c r="G10" s="11">
        <v>10.9</v>
      </c>
      <c r="H10" s="8">
        <v>684</v>
      </c>
      <c r="I10" s="8"/>
      <c r="J10" s="11">
        <v>6.4</v>
      </c>
      <c r="K10" s="9">
        <v>7.29</v>
      </c>
      <c r="L10" s="9" t="s">
        <v>24</v>
      </c>
      <c r="M10" s="8" t="s">
        <v>45</v>
      </c>
      <c r="N10" s="8" t="s">
        <v>48</v>
      </c>
      <c r="O10" s="8" t="s">
        <v>102</v>
      </c>
      <c r="P10" s="8" t="s">
        <v>103</v>
      </c>
    </row>
    <row r="11" spans="1:16" ht="33" x14ac:dyDescent="0.25">
      <c r="A11" s="8" t="s">
        <v>51</v>
      </c>
      <c r="B11" s="8" t="s">
        <v>52</v>
      </c>
      <c r="C11" s="10">
        <v>45607.611111111109</v>
      </c>
      <c r="D11" s="9"/>
      <c r="E11" s="9"/>
      <c r="F11" s="11">
        <v>8.8000000000000007</v>
      </c>
      <c r="G11" s="11">
        <v>10.8</v>
      </c>
      <c r="H11" s="8">
        <v>769</v>
      </c>
      <c r="I11" s="8"/>
      <c r="J11" s="11">
        <v>7.2</v>
      </c>
      <c r="K11" s="9">
        <v>7.25</v>
      </c>
      <c r="L11" s="9" t="s">
        <v>24</v>
      </c>
      <c r="M11" s="8" t="s">
        <v>45</v>
      </c>
      <c r="N11" s="8" t="s">
        <v>40</v>
      </c>
      <c r="O11" s="8" t="s">
        <v>102</v>
      </c>
      <c r="P11" s="8" t="s">
        <v>103</v>
      </c>
    </row>
    <row r="12" spans="1:16" ht="33" x14ac:dyDescent="0.25">
      <c r="A12" s="8" t="s">
        <v>53</v>
      </c>
      <c r="B12" s="8" t="s">
        <v>54</v>
      </c>
      <c r="C12" s="10">
        <v>45607.631944444445</v>
      </c>
      <c r="D12" s="9"/>
      <c r="E12" s="9"/>
      <c r="F12" s="11">
        <v>4.72</v>
      </c>
      <c r="G12" s="11">
        <v>10.9</v>
      </c>
      <c r="H12" s="8">
        <v>733</v>
      </c>
      <c r="I12" s="8"/>
      <c r="J12" s="11">
        <v>6.5</v>
      </c>
      <c r="K12" s="9">
        <v>7.22</v>
      </c>
      <c r="L12" s="9" t="s">
        <v>24</v>
      </c>
      <c r="M12" s="8" t="s">
        <v>45</v>
      </c>
      <c r="N12" s="8" t="s">
        <v>40</v>
      </c>
      <c r="O12" s="8" t="s">
        <v>102</v>
      </c>
      <c r="P12" s="8" t="s">
        <v>103</v>
      </c>
    </row>
    <row r="13" spans="1:16" ht="21" x14ac:dyDescent="0.25">
      <c r="A13" s="8" t="s">
        <v>55</v>
      </c>
      <c r="B13" s="8" t="s">
        <v>56</v>
      </c>
      <c r="C13" s="10">
        <v>45607.552083333336</v>
      </c>
      <c r="D13" s="9">
        <v>1.21</v>
      </c>
      <c r="E13" s="9" t="s">
        <v>32</v>
      </c>
      <c r="F13" s="9">
        <v>0.05</v>
      </c>
      <c r="G13" s="11">
        <v>11.6</v>
      </c>
      <c r="H13" s="8">
        <v>543</v>
      </c>
      <c r="I13" s="8"/>
      <c r="J13" s="11">
        <v>7.6</v>
      </c>
      <c r="K13" s="9">
        <v>7.31</v>
      </c>
      <c r="L13" s="9" t="s">
        <v>24</v>
      </c>
      <c r="M13" s="8"/>
      <c r="N13" s="8" t="s">
        <v>40</v>
      </c>
      <c r="O13" s="8" t="s">
        <v>102</v>
      </c>
      <c r="P13" s="8" t="s">
        <v>103</v>
      </c>
    </row>
    <row r="14" spans="1:16" ht="21" x14ac:dyDescent="0.25">
      <c r="A14" s="8" t="s">
        <v>57</v>
      </c>
      <c r="B14" s="8" t="s">
        <v>58</v>
      </c>
      <c r="C14" s="10">
        <v>45609.458333333336</v>
      </c>
      <c r="D14" s="9">
        <v>5.8</v>
      </c>
      <c r="E14" s="9">
        <v>175</v>
      </c>
      <c r="F14" s="9"/>
      <c r="G14" s="11">
        <v>13.3</v>
      </c>
      <c r="H14" s="8">
        <v>1113</v>
      </c>
      <c r="I14" s="8"/>
      <c r="J14" s="11">
        <v>3.8</v>
      </c>
      <c r="K14" s="9">
        <v>6.99</v>
      </c>
      <c r="L14" s="9" t="s">
        <v>24</v>
      </c>
      <c r="M14" s="12" t="s">
        <v>38</v>
      </c>
      <c r="N14" s="12" t="s">
        <v>40</v>
      </c>
      <c r="O14" s="8" t="s">
        <v>102</v>
      </c>
      <c r="P14" s="8" t="s">
        <v>103</v>
      </c>
    </row>
    <row r="15" spans="1:16" ht="21" x14ac:dyDescent="0.25">
      <c r="A15" s="8" t="s">
        <v>59</v>
      </c>
      <c r="B15" s="8" t="s">
        <v>60</v>
      </c>
      <c r="C15" s="10">
        <v>45609.479166666664</v>
      </c>
      <c r="D15" s="9">
        <v>3.94</v>
      </c>
      <c r="E15" s="9">
        <v>176.68</v>
      </c>
      <c r="F15" s="9"/>
      <c r="G15" s="11">
        <v>13.2</v>
      </c>
      <c r="H15" s="8">
        <v>1091</v>
      </c>
      <c r="I15" s="8"/>
      <c r="J15" s="11">
        <v>7.3</v>
      </c>
      <c r="K15" s="9">
        <v>7.04</v>
      </c>
      <c r="L15" s="9" t="s">
        <v>24</v>
      </c>
      <c r="M15" s="8"/>
      <c r="N15" s="12" t="s">
        <v>40</v>
      </c>
      <c r="O15" s="8" t="s">
        <v>102</v>
      </c>
      <c r="P15" s="8" t="s">
        <v>103</v>
      </c>
    </row>
    <row r="16" spans="1:16" ht="21" x14ac:dyDescent="0.25">
      <c r="A16" s="8" t="s">
        <v>61</v>
      </c>
      <c r="B16" s="8" t="s">
        <v>62</v>
      </c>
      <c r="C16" s="10">
        <v>45609.5</v>
      </c>
      <c r="D16" s="9">
        <v>3.8</v>
      </c>
      <c r="E16" s="9">
        <v>177.04999999999998</v>
      </c>
      <c r="F16" s="9"/>
      <c r="G16" s="11">
        <v>13.2</v>
      </c>
      <c r="H16" s="8">
        <v>1031</v>
      </c>
      <c r="I16" s="8"/>
      <c r="J16" s="11">
        <v>2.8</v>
      </c>
      <c r="K16" s="9">
        <v>7.13</v>
      </c>
      <c r="L16" s="9" t="s">
        <v>24</v>
      </c>
      <c r="M16" s="8"/>
      <c r="N16" s="12" t="s">
        <v>40</v>
      </c>
      <c r="O16" s="8" t="s">
        <v>102</v>
      </c>
      <c r="P16" s="8" t="s">
        <v>103</v>
      </c>
    </row>
    <row r="17" spans="1:16" ht="21" x14ac:dyDescent="0.25">
      <c r="A17" s="8" t="s">
        <v>63</v>
      </c>
      <c r="B17" s="8" t="s">
        <v>64</v>
      </c>
      <c r="C17" s="10">
        <v>45609.520833333336</v>
      </c>
      <c r="D17" s="9">
        <v>3.79</v>
      </c>
      <c r="E17" s="9">
        <v>177.21</v>
      </c>
      <c r="F17" s="9"/>
      <c r="G17" s="11">
        <v>13.2</v>
      </c>
      <c r="H17" s="8">
        <v>1054</v>
      </c>
      <c r="I17" s="8"/>
      <c r="J17" s="11">
        <v>4.5</v>
      </c>
      <c r="K17" s="9">
        <v>7.07</v>
      </c>
      <c r="L17" s="9" t="s">
        <v>65</v>
      </c>
      <c r="M17" s="8"/>
      <c r="N17" s="12" t="s">
        <v>40</v>
      </c>
      <c r="O17" s="8" t="s">
        <v>102</v>
      </c>
      <c r="P17" s="8" t="s">
        <v>103</v>
      </c>
    </row>
    <row r="18" spans="1:16" ht="21" x14ac:dyDescent="0.25">
      <c r="A18" s="8" t="s">
        <v>66</v>
      </c>
      <c r="B18" s="8" t="s">
        <v>67</v>
      </c>
      <c r="C18" s="10">
        <v>45609.541666666664</v>
      </c>
      <c r="D18" s="9">
        <v>3.7</v>
      </c>
      <c r="E18" s="9">
        <v>177.55</v>
      </c>
      <c r="F18" s="9"/>
      <c r="G18" s="11">
        <v>13.5</v>
      </c>
      <c r="H18" s="8">
        <v>1095</v>
      </c>
      <c r="I18" s="8"/>
      <c r="J18" s="11">
        <v>4.2</v>
      </c>
      <c r="K18" s="9">
        <v>7.03</v>
      </c>
      <c r="L18" s="9" t="s">
        <v>24</v>
      </c>
      <c r="M18" s="8"/>
      <c r="N18" s="12" t="s">
        <v>40</v>
      </c>
      <c r="O18" s="8" t="s">
        <v>102</v>
      </c>
      <c r="P18" s="8" t="s">
        <v>103</v>
      </c>
    </row>
    <row r="19" spans="1:16" ht="31.5" x14ac:dyDescent="0.25">
      <c r="A19" s="12" t="s">
        <v>68</v>
      </c>
      <c r="B19" s="12" t="s">
        <v>69</v>
      </c>
      <c r="C19" s="10">
        <v>45609.621527777781</v>
      </c>
      <c r="D19" s="14">
        <v>2.2000000000000002</v>
      </c>
      <c r="E19" s="12" t="s">
        <v>32</v>
      </c>
      <c r="F19" s="12"/>
      <c r="G19" s="15">
        <v>14.1</v>
      </c>
      <c r="H19" s="12">
        <v>1077</v>
      </c>
      <c r="I19" s="12"/>
      <c r="J19" s="15">
        <v>6</v>
      </c>
      <c r="K19" s="14">
        <v>7.1</v>
      </c>
      <c r="L19" s="12" t="s">
        <v>24</v>
      </c>
      <c r="M19" s="12"/>
      <c r="N19" s="12" t="s">
        <v>40</v>
      </c>
      <c r="O19" s="8" t="s">
        <v>102</v>
      </c>
      <c r="P19" s="8" t="s">
        <v>103</v>
      </c>
    </row>
    <row r="20" spans="1:16" ht="31.5" x14ac:dyDescent="0.25">
      <c r="A20" s="12" t="s">
        <v>70</v>
      </c>
      <c r="B20" s="12" t="s">
        <v>71</v>
      </c>
      <c r="C20" s="10">
        <v>45609.59375</v>
      </c>
      <c r="D20" s="14">
        <v>2.34</v>
      </c>
      <c r="E20" s="12" t="s">
        <v>32</v>
      </c>
      <c r="F20" s="12"/>
      <c r="G20" s="12">
        <v>12.6</v>
      </c>
      <c r="H20" s="12">
        <v>956</v>
      </c>
      <c r="I20" s="12"/>
      <c r="J20" s="12">
        <v>5.4</v>
      </c>
      <c r="K20" s="12">
        <v>7.07</v>
      </c>
      <c r="L20" s="9" t="s">
        <v>24</v>
      </c>
      <c r="M20" s="12" t="s">
        <v>38</v>
      </c>
      <c r="N20" s="12" t="s">
        <v>40</v>
      </c>
      <c r="O20" s="8" t="s">
        <v>102</v>
      </c>
      <c r="P20" s="8" t="s">
        <v>103</v>
      </c>
    </row>
    <row r="21" spans="1:16" ht="31.5" x14ac:dyDescent="0.25">
      <c r="A21" s="12" t="s">
        <v>72</v>
      </c>
      <c r="B21" s="12" t="s">
        <v>73</v>
      </c>
      <c r="C21" s="10">
        <v>45609.565972222219</v>
      </c>
      <c r="D21" s="14">
        <v>3</v>
      </c>
      <c r="E21" s="12" t="s">
        <v>32</v>
      </c>
      <c r="F21" s="12"/>
      <c r="G21" s="15">
        <v>13</v>
      </c>
      <c r="H21" s="12">
        <v>984</v>
      </c>
      <c r="I21" s="12"/>
      <c r="J21" s="15">
        <v>3.4</v>
      </c>
      <c r="K21" s="14">
        <v>7.1</v>
      </c>
      <c r="L21" s="12" t="s">
        <v>24</v>
      </c>
      <c r="M21" s="12"/>
      <c r="N21" s="12" t="s">
        <v>40</v>
      </c>
      <c r="O21" s="8" t="s">
        <v>102</v>
      </c>
      <c r="P21" s="8" t="s">
        <v>103</v>
      </c>
    </row>
    <row r="22" spans="1:16" ht="21" x14ac:dyDescent="0.25">
      <c r="A22" s="8" t="s">
        <v>74</v>
      </c>
      <c r="B22" s="8" t="s">
        <v>75</v>
      </c>
      <c r="C22" s="10">
        <v>45608.371527777781</v>
      </c>
      <c r="D22" s="9">
        <v>1.7</v>
      </c>
      <c r="E22" s="9">
        <v>155.94</v>
      </c>
      <c r="F22" s="9"/>
      <c r="G22" s="11"/>
      <c r="H22" s="8"/>
      <c r="I22" s="8"/>
      <c r="J22" s="11"/>
      <c r="K22" s="9"/>
      <c r="L22" s="9"/>
      <c r="M22" s="8"/>
      <c r="N22" s="8"/>
      <c r="O22" s="8" t="s">
        <v>102</v>
      </c>
      <c r="P22" s="8" t="s">
        <v>103</v>
      </c>
    </row>
    <row r="23" spans="1:16" ht="21" x14ac:dyDescent="0.25">
      <c r="A23" s="8" t="s">
        <v>76</v>
      </c>
      <c r="B23" s="8" t="s">
        <v>77</v>
      </c>
      <c r="C23" s="10">
        <v>45608.375</v>
      </c>
      <c r="D23" s="9">
        <v>2.21</v>
      </c>
      <c r="E23" s="9">
        <v>156.03</v>
      </c>
      <c r="F23" s="9"/>
      <c r="G23" s="11"/>
      <c r="H23" s="8"/>
      <c r="I23" s="8"/>
      <c r="J23" s="11"/>
      <c r="K23" s="9"/>
      <c r="L23" s="9"/>
      <c r="M23" s="8"/>
      <c r="N23" s="8"/>
      <c r="O23" s="8" t="s">
        <v>102</v>
      </c>
      <c r="P23" s="8" t="s">
        <v>103</v>
      </c>
    </row>
    <row r="24" spans="1:16" ht="21" x14ac:dyDescent="0.25">
      <c r="A24" s="8" t="s">
        <v>78</v>
      </c>
      <c r="B24" s="8" t="s">
        <v>79</v>
      </c>
      <c r="C24" s="10">
        <v>45608.34375</v>
      </c>
      <c r="D24" s="9">
        <v>2.92</v>
      </c>
      <c r="E24" s="9">
        <v>155.34</v>
      </c>
      <c r="F24" s="9"/>
      <c r="G24" s="11">
        <v>13.5</v>
      </c>
      <c r="H24" s="8">
        <v>958</v>
      </c>
      <c r="I24" s="8"/>
      <c r="J24" s="11">
        <v>1.3</v>
      </c>
      <c r="K24" s="9">
        <v>7</v>
      </c>
      <c r="L24" s="9" t="s">
        <v>24</v>
      </c>
      <c r="M24" s="8"/>
      <c r="N24" s="8" t="s">
        <v>40</v>
      </c>
      <c r="O24" s="8" t="s">
        <v>102</v>
      </c>
      <c r="P24" s="8" t="s">
        <v>103</v>
      </c>
    </row>
    <row r="25" spans="1:16" ht="21" x14ac:dyDescent="0.25">
      <c r="A25" s="8" t="s">
        <v>80</v>
      </c>
      <c r="B25" s="8" t="s">
        <v>81</v>
      </c>
      <c r="C25" s="10">
        <v>45608.319444444445</v>
      </c>
      <c r="D25" s="9">
        <v>2.6</v>
      </c>
      <c r="E25" s="9">
        <v>155.35</v>
      </c>
      <c r="F25" s="9"/>
      <c r="G25" s="11">
        <v>13</v>
      </c>
      <c r="H25" s="8">
        <v>977</v>
      </c>
      <c r="I25" s="8"/>
      <c r="J25" s="11">
        <v>1.3</v>
      </c>
      <c r="K25" s="9">
        <v>7.02</v>
      </c>
      <c r="L25" s="9" t="s">
        <v>24</v>
      </c>
      <c r="M25" s="8"/>
      <c r="N25" s="8" t="s">
        <v>40</v>
      </c>
      <c r="O25" s="8" t="s">
        <v>102</v>
      </c>
      <c r="P25" s="8" t="s">
        <v>103</v>
      </c>
    </row>
    <row r="26" spans="1:16" ht="21" x14ac:dyDescent="0.25">
      <c r="A26" s="8" t="s">
        <v>82</v>
      </c>
      <c r="B26" s="8" t="s">
        <v>83</v>
      </c>
      <c r="C26" s="10">
        <v>45608.368055555555</v>
      </c>
      <c r="D26" s="9">
        <v>2.21</v>
      </c>
      <c r="E26" s="9">
        <v>157.38999999999999</v>
      </c>
      <c r="F26" s="9"/>
      <c r="G26" s="11">
        <v>13</v>
      </c>
      <c r="H26" s="8">
        <v>1080</v>
      </c>
      <c r="I26" s="8"/>
      <c r="J26" s="11">
        <v>7.4</v>
      </c>
      <c r="K26" s="9">
        <v>7.1</v>
      </c>
      <c r="L26" s="9" t="s">
        <v>24</v>
      </c>
      <c r="M26" s="8"/>
      <c r="N26" s="8" t="s">
        <v>40</v>
      </c>
      <c r="O26" s="8" t="s">
        <v>102</v>
      </c>
      <c r="P26" s="8" t="s">
        <v>103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C80D-4089-4AA6-8A0D-65812C08776E}">
  <dimension ref="A1:P8"/>
  <sheetViews>
    <sheetView tabSelected="1" workbookViewId="0">
      <selection activeCell="M10" sqref="M10"/>
    </sheetView>
  </sheetViews>
  <sheetFormatPr baseColWidth="10" defaultRowHeight="15" x14ac:dyDescent="0.25"/>
  <cols>
    <col min="3" max="3" width="13.42578125" bestFit="1" customWidth="1"/>
  </cols>
  <sheetData>
    <row r="1" spans="1:16" ht="21" x14ac:dyDescent="0.25">
      <c r="A1" s="3" t="s">
        <v>18</v>
      </c>
      <c r="B1" s="3" t="s">
        <v>21</v>
      </c>
      <c r="C1" s="2" t="s">
        <v>17</v>
      </c>
      <c r="D1" s="2" t="s">
        <v>16</v>
      </c>
      <c r="E1" s="2" t="s">
        <v>15</v>
      </c>
      <c r="F1" s="2" t="s">
        <v>14</v>
      </c>
      <c r="G1" s="2" t="s">
        <v>13</v>
      </c>
      <c r="H1" s="2" t="s">
        <v>12</v>
      </c>
      <c r="I1" s="2"/>
      <c r="J1" s="2" t="s">
        <v>11</v>
      </c>
      <c r="K1" s="2" t="s">
        <v>10</v>
      </c>
      <c r="L1" s="2"/>
      <c r="M1" s="2" t="s">
        <v>9</v>
      </c>
      <c r="N1" s="3" t="s">
        <v>20</v>
      </c>
      <c r="O1" s="16" t="s">
        <v>100</v>
      </c>
      <c r="P1" s="16" t="s">
        <v>101</v>
      </c>
    </row>
    <row r="2" spans="1:16" ht="21" x14ac:dyDescent="0.25">
      <c r="A2" s="8" t="s">
        <v>84</v>
      </c>
      <c r="B2" s="8" t="s">
        <v>85</v>
      </c>
      <c r="C2" s="10">
        <v>45607.510416666664</v>
      </c>
      <c r="D2" s="9">
        <v>19.36</v>
      </c>
      <c r="E2" s="9" t="s">
        <v>32</v>
      </c>
      <c r="F2" s="9"/>
      <c r="G2" s="11">
        <v>11.6</v>
      </c>
      <c r="H2" s="8">
        <v>972</v>
      </c>
      <c r="I2" s="8"/>
      <c r="J2" s="11">
        <v>8.4</v>
      </c>
      <c r="K2" s="9">
        <v>7.12</v>
      </c>
      <c r="L2" s="9" t="s">
        <v>24</v>
      </c>
      <c r="M2" s="8" t="s">
        <v>86</v>
      </c>
      <c r="N2" s="8" t="s">
        <v>40</v>
      </c>
      <c r="O2" s="8" t="s">
        <v>102</v>
      </c>
      <c r="P2" s="8" t="s">
        <v>103</v>
      </c>
    </row>
    <row r="3" spans="1:16" ht="21" x14ac:dyDescent="0.25">
      <c r="A3" s="8" t="s">
        <v>87</v>
      </c>
      <c r="B3" s="8" t="s">
        <v>88</v>
      </c>
      <c r="C3" s="10">
        <v>45607.538194444445</v>
      </c>
      <c r="D3" s="9">
        <v>1.87</v>
      </c>
      <c r="E3" s="9" t="s">
        <v>32</v>
      </c>
      <c r="F3" s="9"/>
      <c r="G3" s="11">
        <v>12.2</v>
      </c>
      <c r="H3" s="8">
        <v>1086</v>
      </c>
      <c r="I3" s="8"/>
      <c r="J3" s="11">
        <v>5.6</v>
      </c>
      <c r="K3" s="9">
        <v>7.04</v>
      </c>
      <c r="L3" s="9" t="s">
        <v>24</v>
      </c>
      <c r="M3" s="8"/>
      <c r="N3" s="8" t="s">
        <v>40</v>
      </c>
      <c r="O3" s="8" t="s">
        <v>102</v>
      </c>
      <c r="P3" s="8" t="s">
        <v>103</v>
      </c>
    </row>
    <row r="4" spans="1:16" ht="85.5" x14ac:dyDescent="0.25">
      <c r="A4" s="8" t="s">
        <v>89</v>
      </c>
      <c r="B4" s="8" t="s">
        <v>90</v>
      </c>
      <c r="C4" s="10">
        <v>45607.475694444445</v>
      </c>
      <c r="D4" s="9">
        <v>2.17</v>
      </c>
      <c r="E4" s="9" t="s">
        <v>32</v>
      </c>
      <c r="F4" s="9"/>
      <c r="G4" s="11">
        <v>12.4</v>
      </c>
      <c r="H4" s="8">
        <v>1001</v>
      </c>
      <c r="I4" s="8"/>
      <c r="J4" s="11">
        <v>2</v>
      </c>
      <c r="K4" s="9">
        <v>7.1</v>
      </c>
      <c r="L4" s="9" t="s">
        <v>24</v>
      </c>
      <c r="M4" s="8" t="s">
        <v>91</v>
      </c>
      <c r="N4" s="8" t="s">
        <v>40</v>
      </c>
      <c r="O4" s="8" t="s">
        <v>102</v>
      </c>
      <c r="P4" s="8" t="s">
        <v>103</v>
      </c>
    </row>
    <row r="5" spans="1:16" ht="21" x14ac:dyDescent="0.25">
      <c r="A5" s="8" t="s">
        <v>92</v>
      </c>
      <c r="B5" s="8" t="s">
        <v>93</v>
      </c>
      <c r="C5" s="10">
        <v>45607.364583333336</v>
      </c>
      <c r="D5" s="9">
        <v>10.83</v>
      </c>
      <c r="E5" s="9" t="s">
        <v>32</v>
      </c>
      <c r="F5" s="9"/>
      <c r="G5" s="11">
        <v>12.4</v>
      </c>
      <c r="H5" s="8">
        <v>1029</v>
      </c>
      <c r="I5" s="8"/>
      <c r="J5" s="11">
        <v>2.2999999999999998</v>
      </c>
      <c r="K5" s="9">
        <v>7.16</v>
      </c>
      <c r="L5" s="9" t="s">
        <v>24</v>
      </c>
      <c r="M5" s="8" t="s">
        <v>86</v>
      </c>
      <c r="N5" s="8" t="s">
        <v>40</v>
      </c>
      <c r="O5" s="8" t="s">
        <v>102</v>
      </c>
      <c r="P5" s="8" t="s">
        <v>103</v>
      </c>
    </row>
    <row r="6" spans="1:16" ht="21" x14ac:dyDescent="0.25">
      <c r="A6" s="8" t="s">
        <v>94</v>
      </c>
      <c r="B6" s="8" t="s">
        <v>95</v>
      </c>
      <c r="C6" s="10">
        <v>45607.440972222219</v>
      </c>
      <c r="D6" s="9">
        <v>2.21</v>
      </c>
      <c r="E6" s="9" t="s">
        <v>32</v>
      </c>
      <c r="F6" s="9"/>
      <c r="G6" s="11">
        <v>13</v>
      </c>
      <c r="H6" s="8">
        <v>1070</v>
      </c>
      <c r="I6" s="8"/>
      <c r="J6" s="11">
        <v>3.7</v>
      </c>
      <c r="K6" s="9">
        <v>7.06</v>
      </c>
      <c r="L6" s="9" t="s">
        <v>24</v>
      </c>
      <c r="M6" s="8"/>
      <c r="N6" s="8" t="s">
        <v>40</v>
      </c>
      <c r="O6" s="8" t="s">
        <v>102</v>
      </c>
      <c r="P6" s="8" t="s">
        <v>103</v>
      </c>
    </row>
    <row r="7" spans="1:16" ht="21" x14ac:dyDescent="0.25">
      <c r="A7" s="8" t="s">
        <v>96</v>
      </c>
      <c r="B7" s="8" t="s">
        <v>97</v>
      </c>
      <c r="C7" s="10">
        <v>45607.409722222219</v>
      </c>
      <c r="D7" s="9">
        <v>2.4</v>
      </c>
      <c r="E7" s="9">
        <v>167.4</v>
      </c>
      <c r="F7" s="9"/>
      <c r="G7" s="11">
        <v>12.8</v>
      </c>
      <c r="H7" s="8">
        <v>1158</v>
      </c>
      <c r="I7" s="8"/>
      <c r="J7" s="11">
        <v>3.7</v>
      </c>
      <c r="K7" s="9">
        <v>7.04</v>
      </c>
      <c r="L7" s="9" t="s">
        <v>24</v>
      </c>
      <c r="M7" s="8"/>
      <c r="N7" s="8" t="s">
        <v>40</v>
      </c>
      <c r="O7" s="8" t="s">
        <v>102</v>
      </c>
      <c r="P7" s="8" t="s">
        <v>103</v>
      </c>
    </row>
    <row r="8" spans="1:16" ht="21" x14ac:dyDescent="0.25">
      <c r="A8" s="8" t="s">
        <v>98</v>
      </c>
      <c r="B8" s="8" t="s">
        <v>99</v>
      </c>
      <c r="C8" s="10">
        <v>45607.805555555555</v>
      </c>
      <c r="D8" s="9">
        <v>3.57</v>
      </c>
      <c r="E8" s="9" t="s">
        <v>32</v>
      </c>
      <c r="F8" s="9"/>
      <c r="G8" s="11">
        <v>14.2</v>
      </c>
      <c r="H8" s="8">
        <v>1130</v>
      </c>
      <c r="I8" s="8"/>
      <c r="J8" s="11">
        <v>1.8</v>
      </c>
      <c r="K8" s="9">
        <v>7.03</v>
      </c>
      <c r="L8" s="9" t="s">
        <v>24</v>
      </c>
      <c r="M8" s="8"/>
      <c r="N8" s="8" t="s">
        <v>40</v>
      </c>
      <c r="O8" s="8" t="s">
        <v>102</v>
      </c>
      <c r="P8" s="8" t="s">
        <v>103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E2_RMR_KWXX_2023</vt:lpstr>
      <vt:lpstr>E2</vt:lpstr>
      <vt:lpstr>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Degenfelder, Jonathan</dc:creator>
  <cp:lastModifiedBy>Walter, Eric</cp:lastModifiedBy>
  <cp:lastPrinted>2023-11-30T07:22:59Z</cp:lastPrinted>
  <dcterms:created xsi:type="dcterms:W3CDTF">2023-06-16T11:34:52Z</dcterms:created>
  <dcterms:modified xsi:type="dcterms:W3CDTF">2024-11-19T07:30:51Z</dcterms:modified>
</cp:coreProperties>
</file>