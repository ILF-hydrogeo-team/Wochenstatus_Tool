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ibksfs002\dfs-projects\R794\5_WS\58_GEOL\LA602_Monitoring_Phase_2_2\_WWBS_LA602\_Wochenstatus\_Auswertungstool\ImportSkript\woechentlich-dritte\"/>
    </mc:Choice>
  </mc:AlternateContent>
  <xr:revisionPtr revIDLastSave="0" documentId="13_ncr:1_{F0B6E542-D165-414A-898F-1E2F4D7DB6D3}" xr6:coauthVersionLast="47" xr6:coauthVersionMax="47" xr10:uidLastSave="{00000000-0000-0000-0000-000000000000}"/>
  <bookViews>
    <workbookView xWindow="28680" yWindow="-11190" windowWidth="29040" windowHeight="15720" tabRatio="605" xr2:uid="{00000000-000D-0000-FFFF-FFFF00000000}"/>
  </bookViews>
  <sheets>
    <sheet name="E2E3_RMR_KW43_2025" sheetId="7" r:id="rId1"/>
  </sheets>
  <definedNames>
    <definedName name="_xlnm._FilterDatabase" localSheetId="0" hidden="1">E2E3_RMR_KW43_2025!$A$1:$Q$1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7" l="1"/>
</calcChain>
</file>

<file path=xl/sharedStrings.xml><?xml version="1.0" encoding="utf-8"?>
<sst xmlns="http://schemas.openxmlformats.org/spreadsheetml/2006/main" count="338" uniqueCount="127">
  <si>
    <t>QCOMMENT</t>
  </si>
  <si>
    <t>PH [–]</t>
  </si>
  <si>
    <t>O2 [mg/l]</t>
  </si>
  <si>
    <t>ELL [µS/cm]</t>
  </si>
  <si>
    <t>WAT [°C]</t>
  </si>
  <si>
    <t>QUELLSCH [l/s]</t>
  </si>
  <si>
    <t>WLV_ABSOL [m]</t>
  </si>
  <si>
    <t>WLV_COLLAR [m]</t>
  </si>
  <si>
    <t>SMPDATE</t>
  </si>
  <si>
    <t>INVID</t>
  </si>
  <si>
    <t>Probenahme</t>
  </si>
  <si>
    <t>Name</t>
  </si>
  <si>
    <t>Probenahmeverfahren</t>
  </si>
  <si>
    <t>MESSKNE</t>
  </si>
  <si>
    <t>MESSART</t>
  </si>
  <si>
    <t>PA9-BR-Hei-0001</t>
  </si>
  <si>
    <t>HT1</t>
  </si>
  <si>
    <t>keine</t>
  </si>
  <si>
    <t>Notbrunnen
Wartungsarbeiten</t>
  </si>
  <si>
    <t>Paket 1,2,3a,3b</t>
  </si>
  <si>
    <t>Hahn</t>
  </si>
  <si>
    <t>PA9-BR-Lei-0001</t>
  </si>
  <si>
    <t>Pumpstation Hippberg</t>
  </si>
  <si>
    <t>PA9-BR-Lei-0002</t>
  </si>
  <si>
    <t>Br. Großgartach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</si>
  <si>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 xml:space="preserve">)freilüften
0,72m unter Brunnenkopf
</t>
    </r>
  </si>
  <si>
    <t>PA9-BR-Lei-0003</t>
  </si>
  <si>
    <t>Br. Ackerwiesen</t>
  </si>
  <si>
    <t>PA9-BR-Lei-0004</t>
  </si>
  <si>
    <t>Br. Klingelbrunnen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</si>
  <si>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 xml:space="preserve">)freilüften
</t>
    </r>
  </si>
  <si>
    <t>PA9-BR-Lei-0005</t>
  </si>
  <si>
    <t>Br. Säubruch 2</t>
  </si>
  <si>
    <t>PA9-BR-Lei-0006</t>
  </si>
  <si>
    <t>Br. Säubruch 1</t>
  </si>
  <si>
    <t>PA9-BR-Lei-0007</t>
  </si>
  <si>
    <t>Br. Kohlwiesen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</si>
  <si>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 xml:space="preserve">)freilüften
schwach perlend
</t>
    </r>
  </si>
  <si>
    <t>PA9-BR-Moe-0002</t>
  </si>
  <si>
    <t>BBR Helmut Carle (Brunnen Plankenhof)</t>
  </si>
  <si>
    <t>stark perlend</t>
  </si>
  <si>
    <t>PA9-BR-Neu-0001</t>
  </si>
  <si>
    <t>TB Wert, Siglingen</t>
  </si>
  <si>
    <t>Keine</t>
  </si>
  <si>
    <t>Wasserspiegel abgesenkt</t>
  </si>
  <si>
    <t>PA9-BR-Tau-0001</t>
  </si>
  <si>
    <t>BBR 15, Dittigheim</t>
  </si>
  <si>
    <t>Trübungsmesser defekt</t>
  </si>
  <si>
    <t>PA9-BR-Tau-0002</t>
  </si>
  <si>
    <t>BBR 1, Dittigheim</t>
  </si>
  <si>
    <t>PA9-BR-Tau-0003</t>
  </si>
  <si>
    <t>BBR 3, Dittigheim</t>
  </si>
  <si>
    <t>PA9-BR-Tau-0004</t>
  </si>
  <si>
    <t>BBR 5, Dittigheim</t>
  </si>
  <si>
    <t>0,012 FNU</t>
  </si>
  <si>
    <t>PA9-BR-Tau-0005</t>
  </si>
  <si>
    <t>BBR 6, Dittigheim</t>
  </si>
  <si>
    <t>PA9-GW-Gro-0002</t>
  </si>
  <si>
    <t>GWM Rödersteingraben</t>
  </si>
  <si>
    <t>schwach</t>
  </si>
  <si>
    <t>Beobachtungspegel</t>
  </si>
  <si>
    <t>Paket 1,3a,3b</t>
  </si>
  <si>
    <t>Schöpfen</t>
  </si>
  <si>
    <t>PA9-GW-LaK-0003</t>
  </si>
  <si>
    <t>GWM 1</t>
  </si>
  <si>
    <t>PA9-QU-Box-0002</t>
  </si>
  <si>
    <t xml:space="preserve">QUE Zigeunerbrunnen </t>
  </si>
  <si>
    <t>PA9-QU-Rav-0002</t>
  </si>
  <si>
    <t>QF I Rübbrunnen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</si>
  <si>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), freilüften</t>
    </r>
  </si>
  <si>
    <t>PA9-QU-Rav-0003</t>
  </si>
  <si>
    <t>OF II  Rübbrunnen</t>
  </si>
  <si>
    <t>PA7-BR-Ran-0003</t>
  </si>
  <si>
    <t>Br. II Rannungen</t>
  </si>
  <si>
    <t>PA7-BR-Ran-0002</t>
  </si>
  <si>
    <t>Br. I Rannungen</t>
  </si>
  <si>
    <t>PA7-BR-Str-0001</t>
  </si>
  <si>
    <t>Br. 1 Strahlungen</t>
  </si>
  <si>
    <t>PA7-BR-Str-0002</t>
  </si>
  <si>
    <t>Br. 2 Strahlungen</t>
  </si>
  <si>
    <t>PA7-BK-Str-0041</t>
  </si>
  <si>
    <t>PA7-BK-Obe-0002</t>
  </si>
  <si>
    <t>PA7-BK-Mel-0007</t>
  </si>
  <si>
    <t>PA7-BK-Mel-0103</t>
  </si>
  <si>
    <t>PA7-BK-Mel-0102</t>
  </si>
  <si>
    <t>PA7-BK-Pop-0122</t>
  </si>
  <si>
    <t>PA7-BK-Pop-0086</t>
  </si>
  <si>
    <t>PA7-GW-Mue-0006</t>
  </si>
  <si>
    <t>leicht</t>
  </si>
  <si>
    <t>stark</t>
  </si>
  <si>
    <t>1,2,3a,3b,3c,4</t>
  </si>
  <si>
    <t>Intergeo</t>
  </si>
  <si>
    <t>l</t>
  </si>
  <si>
    <t>1,2,3a,3b</t>
  </si>
  <si>
    <t>1,3a,3b</t>
  </si>
  <si>
    <t>Keine PN, Messstelle wurde zurückgebaut</t>
  </si>
  <si>
    <t>Febolab</t>
  </si>
  <si>
    <t>PA8-BR-Thg-0002</t>
  </si>
  <si>
    <t>Br. Thüngen</t>
  </si>
  <si>
    <t>PA8-BR-Thg-0004</t>
  </si>
  <si>
    <t>Brunnen 1 Werntal</t>
  </si>
  <si>
    <t>PA8-BR-Thg-0004-UF</t>
  </si>
  <si>
    <t>PA8-BR-Thg-0001</t>
  </si>
  <si>
    <t>Brunnen 3 Werntal</t>
  </si>
  <si>
    <t>PA8-BR-Thg-0003</t>
  </si>
  <si>
    <t>Br. Heßlar</t>
  </si>
  <si>
    <t>PA8-BR-Kar-0002</t>
  </si>
  <si>
    <t>Brunnen 2 Werntal</t>
  </si>
  <si>
    <t xml:space="preserve">PA8-BR-Zel-0006 </t>
  </si>
  <si>
    <t>Brunnen 2 Zellingen</t>
  </si>
  <si>
    <t xml:space="preserve">PA8-BR-Zel-0005 </t>
  </si>
  <si>
    <t>Brunnen 3 Zellingen</t>
  </si>
  <si>
    <t xml:space="preserve">PA8-BR-Zel-0003 </t>
  </si>
  <si>
    <t>Brunnen 4 Zellingen</t>
  </si>
  <si>
    <t xml:space="preserve">PA8-BR-Zel-0001 </t>
  </si>
  <si>
    <t>Brunnen 1a Zellingen</t>
  </si>
  <si>
    <t xml:space="preserve">PA8-BR-Zel-0004 </t>
  </si>
  <si>
    <t>Brunnen 1 Zellingen</t>
  </si>
  <si>
    <t>PA8-BR-Was-0004</t>
  </si>
  <si>
    <t>WBV Kaistener Gruppe Br. I</t>
  </si>
  <si>
    <t>PA8-BR-Was-0003</t>
  </si>
  <si>
    <t>WBV Kaistener Gruppe Br. II</t>
  </si>
  <si>
    <t>PA8-BR-Arn-0001</t>
  </si>
  <si>
    <t xml:space="preserve">Br.Hartmut Breunig </t>
  </si>
  <si>
    <t>PA8-BR-Arn-0006</t>
  </si>
  <si>
    <t xml:space="preserve">Br. Christine Schmitt </t>
  </si>
  <si>
    <t>hahn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</si>
</sst>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  <charset val="1"/>
    </font>
    <font>
      <sz val="8"/>
      <color rgb="FF000000"/>
      <name val="Tahoma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charset val="1"/>
    </font>
    <font>
      <sz val="8"/>
      <color rgb="FF000000"/>
      <name val="Arial"/>
      <family val="2"/>
    </font>
    <font>
      <vertAlign val="subscript"/>
      <sz val="8"/>
      <color rgb="FF000000"/>
      <name val="Tahoma"/>
      <family val="2"/>
    </font>
    <font>
      <sz val="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</cellStyleXfs>
  <cellXfs count="6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22" fontId="1" fillId="2" borderId="1" xfId="0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22" fontId="1" fillId="0" borderId="1" xfId="0" applyNumberFormat="1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wrapText="1"/>
    </xf>
    <xf numFmtId="0" fontId="1" fillId="0" borderId="1" xfId="2" applyFont="1" applyBorder="1" applyAlignment="1">
      <alignment horizontal="left" vertical="top" wrapText="1"/>
    </xf>
    <xf numFmtId="2" fontId="1" fillId="2" borderId="4" xfId="0" applyNumberFormat="1" applyFont="1" applyFill="1" applyBorder="1" applyAlignment="1">
      <alignment horizontal="left" vertical="top" wrapText="1"/>
    </xf>
    <xf numFmtId="0" fontId="0" fillId="0" borderId="1" xfId="0" applyBorder="1"/>
    <xf numFmtId="22" fontId="1" fillId="0" borderId="1" xfId="2" applyNumberFormat="1" applyFont="1" applyBorder="1" applyAlignment="1">
      <alignment horizontal="left" vertical="top" wrapText="1"/>
    </xf>
    <xf numFmtId="2" fontId="1" fillId="0" borderId="1" xfId="2" applyNumberFormat="1" applyFont="1" applyBorder="1" applyAlignment="1">
      <alignment horizontal="left" vertical="top" wrapText="1"/>
    </xf>
    <xf numFmtId="164" fontId="1" fillId="0" borderId="1" xfId="2" applyNumberFormat="1" applyFont="1" applyBorder="1" applyAlignment="1">
      <alignment horizontal="left" vertical="top" wrapText="1"/>
    </xf>
    <xf numFmtId="0" fontId="1" fillId="2" borderId="1" xfId="2" applyFont="1" applyFill="1" applyBorder="1" applyAlignment="1">
      <alignment horizontal="left" vertical="top" wrapText="1"/>
    </xf>
    <xf numFmtId="0" fontId="1" fillId="4" borderId="1" xfId="2" applyFont="1" applyFill="1" applyBorder="1" applyAlignment="1">
      <alignment horizontal="left" vertical="top" wrapText="1"/>
    </xf>
    <xf numFmtId="0" fontId="1" fillId="0" borderId="4" xfId="2" applyFont="1" applyBorder="1" applyAlignment="1">
      <alignment horizontal="left" vertical="top" wrapText="1"/>
    </xf>
    <xf numFmtId="0" fontId="1" fillId="2" borderId="4" xfId="2" applyFont="1" applyFill="1" applyBorder="1" applyAlignment="1">
      <alignment horizontal="left" vertical="top" wrapText="1"/>
    </xf>
    <xf numFmtId="2" fontId="1" fillId="0" borderId="4" xfId="2" applyNumberFormat="1" applyFont="1" applyBorder="1" applyAlignment="1">
      <alignment horizontal="left" vertical="top" wrapText="1"/>
    </xf>
    <xf numFmtId="164" fontId="1" fillId="0" borderId="4" xfId="2" applyNumberFormat="1" applyFont="1" applyBorder="1" applyAlignment="1">
      <alignment horizontal="left" vertical="top" wrapText="1"/>
    </xf>
    <xf numFmtId="22" fontId="1" fillId="2" borderId="1" xfId="2" applyNumberFormat="1" applyFont="1" applyFill="1" applyBorder="1" applyAlignment="1">
      <alignment horizontal="left" vertical="top" wrapText="1"/>
    </xf>
    <xf numFmtId="2" fontId="1" fillId="2" borderId="1" xfId="0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2" fontId="1" fillId="2" borderId="4" xfId="0" applyNumberFormat="1" applyFont="1" applyFill="1" applyBorder="1" applyAlignment="1">
      <alignment horizontal="left" wrapText="1"/>
    </xf>
    <xf numFmtId="22" fontId="1" fillId="2" borderId="1" xfId="3" applyNumberFormat="1" applyFont="1" applyFill="1" applyBorder="1" applyAlignment="1">
      <alignment horizontal="left" vertical="top" wrapText="1"/>
    </xf>
    <xf numFmtId="0" fontId="1" fillId="2" borderId="1" xfId="3" applyFont="1" applyFill="1" applyBorder="1" applyAlignment="1">
      <alignment horizontal="left" vertical="top" wrapText="1"/>
    </xf>
    <xf numFmtId="0" fontId="1" fillId="2" borderId="1" xfId="4" applyFont="1" applyFill="1" applyBorder="1" applyAlignment="1">
      <alignment horizontal="left" vertical="top" wrapText="1"/>
    </xf>
    <xf numFmtId="2" fontId="1" fillId="4" borderId="1" xfId="3" applyNumberFormat="1" applyFont="1" applyFill="1" applyBorder="1" applyAlignment="1">
      <alignment horizontal="left" vertical="top" wrapText="1"/>
    </xf>
    <xf numFmtId="0" fontId="5" fillId="4" borderId="1" xfId="3" applyFont="1" applyFill="1" applyBorder="1" applyAlignment="1">
      <alignment horizontal="left" vertical="top" wrapText="1"/>
    </xf>
    <xf numFmtId="0" fontId="1" fillId="4" borderId="1" xfId="4" applyFont="1" applyFill="1" applyBorder="1" applyAlignment="1">
      <alignment horizontal="left" vertical="top" wrapText="1"/>
    </xf>
    <xf numFmtId="0" fontId="3" fillId="0" borderId="1" xfId="3" applyBorder="1"/>
    <xf numFmtId="0" fontId="5" fillId="2" borderId="1" xfId="3" applyFont="1" applyFill="1" applyBorder="1" applyAlignment="1">
      <alignment horizontal="left" vertical="top" wrapText="1"/>
    </xf>
    <xf numFmtId="2" fontId="5" fillId="2" borderId="1" xfId="3" applyNumberFormat="1" applyFont="1" applyFill="1" applyBorder="1" applyAlignment="1">
      <alignment horizontal="left" vertical="top" wrapText="1"/>
    </xf>
    <xf numFmtId="0" fontId="1" fillId="0" borderId="1" xfId="3" applyFont="1" applyBorder="1" applyAlignment="1">
      <alignment horizontal="left" vertical="top" wrapText="1"/>
    </xf>
    <xf numFmtId="0" fontId="1" fillId="0" borderId="4" xfId="3" applyFont="1" applyBorder="1" applyAlignment="1">
      <alignment horizontal="left" vertical="top" wrapText="1"/>
    </xf>
    <xf numFmtId="2" fontId="1" fillId="2" borderId="4" xfId="3" applyNumberFormat="1" applyFont="1" applyFill="1" applyBorder="1" applyAlignment="1">
      <alignment horizontal="left" vertical="top" wrapText="1"/>
    </xf>
    <xf numFmtId="1" fontId="1" fillId="2" borderId="4" xfId="3" applyNumberFormat="1" applyFont="1" applyFill="1" applyBorder="1" applyAlignment="1">
      <alignment horizontal="left" vertical="top" wrapText="1"/>
    </xf>
    <xf numFmtId="2" fontId="1" fillId="2" borderId="1" xfId="3" applyNumberFormat="1" applyFont="1" applyFill="1" applyBorder="1" applyAlignment="1">
      <alignment horizontal="left" vertical="top" wrapText="1"/>
    </xf>
    <xf numFmtId="164" fontId="1" fillId="2" borderId="1" xfId="3" applyNumberFormat="1" applyFont="1" applyFill="1" applyBorder="1" applyAlignment="1">
      <alignment horizontal="left" vertical="top" wrapText="1"/>
    </xf>
    <xf numFmtId="1" fontId="1" fillId="2" borderId="1" xfId="3" applyNumberFormat="1" applyFont="1" applyFill="1" applyBorder="1" applyAlignment="1">
      <alignment horizontal="left" vertical="top" wrapText="1"/>
    </xf>
    <xf numFmtId="164" fontId="1" fillId="2" borderId="4" xfId="3" applyNumberFormat="1" applyFont="1" applyFill="1" applyBorder="1" applyAlignment="1">
      <alignment horizontal="left" vertical="top" wrapText="1"/>
    </xf>
    <xf numFmtId="0" fontId="1" fillId="2" borderId="5" xfId="3" applyFont="1" applyFill="1" applyBorder="1" applyAlignment="1">
      <alignment horizontal="left" vertical="top" wrapText="1"/>
    </xf>
    <xf numFmtId="0" fontId="1" fillId="5" borderId="1" xfId="3" applyFont="1" applyFill="1" applyBorder="1" applyAlignment="1">
      <alignment horizontal="left" vertical="top" wrapText="1"/>
    </xf>
    <xf numFmtId="2" fontId="1" fillId="2" borderId="4" xfId="2" applyNumberFormat="1" applyFont="1" applyFill="1" applyBorder="1" applyAlignment="1">
      <alignment horizontal="left" vertical="top" wrapText="1"/>
    </xf>
    <xf numFmtId="2" fontId="7" fillId="0" borderId="1" xfId="3" applyNumberFormat="1" applyFont="1" applyBorder="1" applyAlignment="1">
      <alignment horizontal="left" vertical="top"/>
    </xf>
    <xf numFmtId="2" fontId="1" fillId="0" borderId="4" xfId="0" applyNumberFormat="1" applyFont="1" applyBorder="1" applyAlignment="1">
      <alignment horizontal="left" vertical="top" wrapText="1"/>
    </xf>
    <xf numFmtId="2" fontId="5" fillId="2" borderId="4" xfId="3" applyNumberFormat="1" applyFont="1" applyFill="1" applyBorder="1" applyAlignment="1">
      <alignment horizontal="left" vertical="top" wrapText="1"/>
    </xf>
    <xf numFmtId="2" fontId="1" fillId="5" borderId="1" xfId="3" applyNumberFormat="1" applyFont="1" applyFill="1" applyBorder="1" applyAlignment="1">
      <alignment horizontal="left" vertical="top" wrapText="1"/>
    </xf>
    <xf numFmtId="2" fontId="1" fillId="0" borderId="1" xfId="3" applyNumberFormat="1" applyFont="1" applyBorder="1" applyAlignment="1">
      <alignment horizontal="left" vertical="top" wrapText="1"/>
    </xf>
    <xf numFmtId="2" fontId="1" fillId="0" borderId="4" xfId="2" applyNumberFormat="1" applyFont="1" applyBorder="1" applyAlignment="1">
      <alignment horizontal="center" vertical="top" wrapText="1"/>
    </xf>
    <xf numFmtId="164" fontId="1" fillId="0" borderId="4" xfId="0" applyNumberFormat="1" applyFont="1" applyBorder="1" applyAlignment="1">
      <alignment horizontal="left" vertical="top" wrapText="1"/>
    </xf>
    <xf numFmtId="164" fontId="1" fillId="5" borderId="1" xfId="3" applyNumberFormat="1" applyFont="1" applyFill="1" applyBorder="1" applyAlignment="1">
      <alignment horizontal="left" vertical="top" wrapText="1"/>
    </xf>
    <xf numFmtId="164" fontId="1" fillId="0" borderId="1" xfId="3" applyNumberFormat="1" applyFont="1" applyBorder="1" applyAlignment="1">
      <alignment horizontal="left" vertical="top" wrapText="1"/>
    </xf>
    <xf numFmtId="164" fontId="7" fillId="0" borderId="1" xfId="3" applyNumberFormat="1" applyFont="1" applyBorder="1" applyAlignment="1">
      <alignment horizontal="left" vertical="top"/>
    </xf>
    <xf numFmtId="164" fontId="1" fillId="2" borderId="4" xfId="2" applyNumberFormat="1" applyFont="1" applyFill="1" applyBorder="1" applyAlignment="1">
      <alignment horizontal="left" vertical="top" wrapText="1"/>
    </xf>
    <xf numFmtId="1" fontId="1" fillId="5" borderId="1" xfId="3" applyNumberFormat="1" applyFont="1" applyFill="1" applyBorder="1" applyAlignment="1">
      <alignment horizontal="left" vertical="top" wrapText="1"/>
    </xf>
    <xf numFmtId="1" fontId="1" fillId="0" borderId="1" xfId="3" applyNumberFormat="1" applyFont="1" applyBorder="1" applyAlignment="1">
      <alignment horizontal="left" vertical="top" wrapText="1"/>
    </xf>
    <xf numFmtId="0" fontId="7" fillId="0" borderId="1" xfId="3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2" fontId="1" fillId="2" borderId="1" xfId="0" applyNumberFormat="1" applyFont="1" applyFill="1" applyBorder="1" applyAlignment="1">
      <alignment horizontal="left" wrapText="1"/>
    </xf>
  </cellXfs>
  <cellStyles count="5">
    <cellStyle name="Prozent 2" xfId="1" xr:uid="{180AC834-3DDB-467A-BC34-1CACA8471F66}"/>
    <cellStyle name="Standard" xfId="0" builtinId="0"/>
    <cellStyle name="Standard 2" xfId="2" xr:uid="{C8B23F7C-1499-4BC6-A584-C9270E89ADDC}"/>
    <cellStyle name="Standard 3" xfId="4" xr:uid="{F711D378-2C8F-4779-B11D-AD2B36BDFBE5}"/>
    <cellStyle name="Standard 4" xfId="3" xr:uid="{FF839B16-34AA-4BF0-94BA-163E67A4E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AA25-91B3-4717-8DE6-C66D41EC3694}">
  <dimension ref="A1:Q54"/>
  <sheetViews>
    <sheetView tabSelected="1" zoomScaleNormal="100" workbookViewId="0">
      <selection sqref="A1:XFD1"/>
    </sheetView>
  </sheetViews>
  <sheetFormatPr baseColWidth="10" defaultColWidth="12.26953125" defaultRowHeight="14.5" x14ac:dyDescent="0.35"/>
  <cols>
    <col min="1" max="1" width="15.7265625" style="1" customWidth="1"/>
    <col min="2" max="2" width="30.54296875" style="1" bestFit="1" customWidth="1"/>
    <col min="3" max="3" width="18.81640625" style="1" customWidth="1"/>
    <col min="4" max="4" width="13" style="1" customWidth="1"/>
    <col min="5" max="5" width="12.26953125" style="1"/>
    <col min="6" max="6" width="10.81640625" style="1" customWidth="1"/>
    <col min="7" max="7" width="8.81640625" style="1" customWidth="1"/>
    <col min="8" max="8" width="10.54296875" style="1" customWidth="1"/>
    <col min="9" max="9" width="12.26953125" style="1"/>
    <col min="10" max="10" width="8.7265625" style="1" customWidth="1"/>
    <col min="11" max="11" width="6.81640625" style="1" customWidth="1"/>
    <col min="12" max="12" width="20.54296875" style="1" customWidth="1"/>
    <col min="13" max="13" width="26.54296875" style="1" customWidth="1"/>
    <col min="14" max="14" width="15.81640625" style="1" customWidth="1"/>
    <col min="15" max="15" width="17.1796875" style="1" customWidth="1"/>
    <col min="18" max="16384" width="12.26953125" style="1"/>
  </cols>
  <sheetData>
    <row r="1" spans="1:17" ht="20" x14ac:dyDescent="0.35">
      <c r="A1" s="2" t="s">
        <v>9</v>
      </c>
      <c r="B1" s="2" t="s">
        <v>11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4</v>
      </c>
      <c r="H1" s="3" t="s">
        <v>3</v>
      </c>
      <c r="I1" s="3"/>
      <c r="J1" s="3" t="s">
        <v>2</v>
      </c>
      <c r="K1" s="3" t="s">
        <v>1</v>
      </c>
      <c r="L1" s="3"/>
      <c r="M1" s="3" t="s">
        <v>0</v>
      </c>
      <c r="N1" s="2" t="s">
        <v>10</v>
      </c>
      <c r="O1" s="2" t="s">
        <v>12</v>
      </c>
      <c r="P1" s="2" t="s">
        <v>13</v>
      </c>
      <c r="Q1" s="2" t="s">
        <v>14</v>
      </c>
    </row>
    <row r="2" spans="1:17" ht="20" x14ac:dyDescent="0.35">
      <c r="A2" s="28" t="s">
        <v>82</v>
      </c>
      <c r="B2" s="45"/>
      <c r="C2" s="27">
        <v>45966.416666666664</v>
      </c>
      <c r="D2" s="30"/>
      <c r="E2" s="47"/>
      <c r="F2" s="50"/>
      <c r="G2" s="54"/>
      <c r="H2" s="58"/>
      <c r="I2" s="6"/>
      <c r="J2" s="50"/>
      <c r="K2" s="50"/>
      <c r="L2" s="40"/>
      <c r="M2" s="50" t="s">
        <v>95</v>
      </c>
      <c r="N2" s="31"/>
      <c r="O2" s="4"/>
      <c r="P2" s="4" t="s">
        <v>91</v>
      </c>
      <c r="Q2" s="32" t="s">
        <v>92</v>
      </c>
    </row>
    <row r="3" spans="1:17" ht="10" x14ac:dyDescent="0.35">
      <c r="A3" s="28" t="s">
        <v>84</v>
      </c>
      <c r="B3" s="45"/>
      <c r="C3" s="27">
        <v>45966.5</v>
      </c>
      <c r="D3" s="30">
        <v>37.25</v>
      </c>
      <c r="E3" s="47">
        <v>366.05</v>
      </c>
      <c r="F3" s="50"/>
      <c r="G3" s="54">
        <v>10</v>
      </c>
      <c r="H3" s="58">
        <v>660</v>
      </c>
      <c r="I3" s="6"/>
      <c r="J3" s="50">
        <v>10.39</v>
      </c>
      <c r="K3" s="50">
        <v>7.34</v>
      </c>
      <c r="L3" s="40" t="s">
        <v>89</v>
      </c>
      <c r="M3" s="50"/>
      <c r="N3" s="31" t="s">
        <v>94</v>
      </c>
      <c r="O3" s="4" t="s">
        <v>62</v>
      </c>
      <c r="P3" s="4" t="s">
        <v>91</v>
      </c>
      <c r="Q3" s="32" t="s">
        <v>92</v>
      </c>
    </row>
    <row r="4" spans="1:17" ht="10" x14ac:dyDescent="0.35">
      <c r="A4" s="28" t="s">
        <v>83</v>
      </c>
      <c r="B4" s="45"/>
      <c r="C4" s="27">
        <v>45966.458333333336</v>
      </c>
      <c r="D4" s="30">
        <v>33.4</v>
      </c>
      <c r="E4" s="47">
        <v>389.44</v>
      </c>
      <c r="F4" s="50"/>
      <c r="G4" s="54">
        <v>10.1</v>
      </c>
      <c r="H4" s="58">
        <v>614</v>
      </c>
      <c r="I4" s="6"/>
      <c r="J4" s="50">
        <v>10.98</v>
      </c>
      <c r="K4" s="50">
        <v>7.633</v>
      </c>
      <c r="L4" s="40" t="s">
        <v>88</v>
      </c>
      <c r="M4" s="50"/>
      <c r="N4" s="31" t="s">
        <v>94</v>
      </c>
      <c r="O4" s="4" t="s">
        <v>62</v>
      </c>
      <c r="P4" s="4" t="s">
        <v>91</v>
      </c>
      <c r="Q4" s="32" t="s">
        <v>92</v>
      </c>
    </row>
    <row r="5" spans="1:17" ht="10" x14ac:dyDescent="0.35">
      <c r="A5" s="28" t="s">
        <v>81</v>
      </c>
      <c r="B5" s="45"/>
      <c r="C5" s="27">
        <v>45966.375</v>
      </c>
      <c r="D5" s="30">
        <v>14.98</v>
      </c>
      <c r="E5" s="47">
        <v>271.40999999999997</v>
      </c>
      <c r="F5" s="50"/>
      <c r="G5" s="54">
        <v>10</v>
      </c>
      <c r="H5" s="58">
        <v>1530</v>
      </c>
      <c r="I5" s="6"/>
      <c r="J5" s="50">
        <v>10.67</v>
      </c>
      <c r="K5" s="50">
        <v>7.48</v>
      </c>
      <c r="L5" s="40" t="s">
        <v>89</v>
      </c>
      <c r="M5" s="31"/>
      <c r="N5" s="31" t="s">
        <v>94</v>
      </c>
      <c r="O5" s="4" t="s">
        <v>62</v>
      </c>
      <c r="P5" s="4" t="s">
        <v>91</v>
      </c>
      <c r="Q5" s="32" t="s">
        <v>92</v>
      </c>
    </row>
    <row r="6" spans="1:17" ht="20" x14ac:dyDescent="0.35">
      <c r="A6" s="28" t="s">
        <v>86</v>
      </c>
      <c r="B6" s="36"/>
      <c r="C6" s="27">
        <v>45967.458333333336</v>
      </c>
      <c r="D6" s="40"/>
      <c r="E6" s="47"/>
      <c r="F6" s="51"/>
      <c r="G6" s="55"/>
      <c r="H6" s="59"/>
      <c r="I6" s="6"/>
      <c r="J6" s="51"/>
      <c r="K6" s="51"/>
      <c r="L6" s="51"/>
      <c r="M6" s="50" t="s">
        <v>95</v>
      </c>
      <c r="N6" s="34"/>
      <c r="O6" s="4"/>
      <c r="P6" s="4" t="s">
        <v>91</v>
      </c>
      <c r="Q6" s="29" t="s">
        <v>92</v>
      </c>
    </row>
    <row r="7" spans="1:17" x14ac:dyDescent="0.35">
      <c r="A7" s="28" t="s">
        <v>85</v>
      </c>
      <c r="B7" s="36"/>
      <c r="C7" s="27">
        <v>45967.416666666664</v>
      </c>
      <c r="D7" s="40">
        <v>14.88</v>
      </c>
      <c r="E7" s="47">
        <v>242.45999999999998</v>
      </c>
      <c r="F7" s="51"/>
      <c r="G7" s="55">
        <v>12</v>
      </c>
      <c r="H7" s="59">
        <v>941</v>
      </c>
      <c r="I7" s="6"/>
      <c r="J7" s="51">
        <v>4.03</v>
      </c>
      <c r="K7" s="51">
        <v>7.1459999999999999</v>
      </c>
      <c r="L7" s="40" t="s">
        <v>89</v>
      </c>
      <c r="M7" s="33"/>
      <c r="N7" s="34" t="s">
        <v>94</v>
      </c>
      <c r="O7" s="4" t="s">
        <v>62</v>
      </c>
      <c r="P7" s="4" t="s">
        <v>91</v>
      </c>
      <c r="Q7" s="29" t="s">
        <v>92</v>
      </c>
    </row>
    <row r="8" spans="1:17" ht="10" x14ac:dyDescent="0.35">
      <c r="A8" s="28" t="s">
        <v>80</v>
      </c>
      <c r="B8" s="45"/>
      <c r="C8" s="27">
        <v>45966.333333333336</v>
      </c>
      <c r="D8" s="30">
        <v>49.3</v>
      </c>
      <c r="E8" s="47">
        <v>316.45</v>
      </c>
      <c r="F8" s="50"/>
      <c r="G8" s="54">
        <v>10.6</v>
      </c>
      <c r="H8" s="58">
        <v>703</v>
      </c>
      <c r="I8" s="6"/>
      <c r="J8" s="50">
        <v>11.02</v>
      </c>
      <c r="K8" s="50">
        <v>7.4939999999999998</v>
      </c>
      <c r="L8" s="40" t="s">
        <v>88</v>
      </c>
      <c r="M8" s="50"/>
      <c r="N8" s="31" t="s">
        <v>94</v>
      </c>
      <c r="O8" s="4" t="s">
        <v>62</v>
      </c>
      <c r="P8" s="4" t="s">
        <v>91</v>
      </c>
      <c r="Q8" s="32" t="s">
        <v>92</v>
      </c>
    </row>
    <row r="9" spans="1:17" x14ac:dyDescent="0.35">
      <c r="A9" s="17" t="s">
        <v>74</v>
      </c>
      <c r="B9" s="11" t="s">
        <v>75</v>
      </c>
      <c r="C9" s="27">
        <v>45964.583333333336</v>
      </c>
      <c r="D9" s="47">
        <v>36.5</v>
      </c>
      <c r="E9" s="47">
        <v>277.33</v>
      </c>
      <c r="F9" s="47">
        <v>5.7</v>
      </c>
      <c r="G9" s="56">
        <v>10.6</v>
      </c>
      <c r="H9" s="60">
        <v>698</v>
      </c>
      <c r="I9" s="6"/>
      <c r="J9" s="47">
        <v>8.8800000000000008</v>
      </c>
      <c r="K9" s="47">
        <v>7.45</v>
      </c>
      <c r="L9" s="34"/>
      <c r="M9" s="33"/>
      <c r="N9" s="34" t="s">
        <v>90</v>
      </c>
      <c r="O9" s="4" t="s">
        <v>20</v>
      </c>
      <c r="P9" s="4" t="s">
        <v>91</v>
      </c>
      <c r="Q9" s="29" t="s">
        <v>92</v>
      </c>
    </row>
    <row r="10" spans="1:17" x14ac:dyDescent="0.35">
      <c r="A10" s="17" t="s">
        <v>72</v>
      </c>
      <c r="B10" s="11" t="s">
        <v>73</v>
      </c>
      <c r="C10" s="27">
        <v>45964.5625</v>
      </c>
      <c r="D10" s="47">
        <v>47.7</v>
      </c>
      <c r="E10" s="47">
        <v>278.04000000000002</v>
      </c>
      <c r="F10" s="47">
        <v>7.7</v>
      </c>
      <c r="G10" s="56">
        <v>10.8</v>
      </c>
      <c r="H10" s="60">
        <v>739</v>
      </c>
      <c r="I10" s="6"/>
      <c r="J10" s="47">
        <v>7.75</v>
      </c>
      <c r="K10" s="47">
        <v>7.3680000000000003</v>
      </c>
      <c r="L10" s="34"/>
      <c r="M10" s="33"/>
      <c r="N10" s="34" t="s">
        <v>90</v>
      </c>
      <c r="O10" s="4" t="s">
        <v>20</v>
      </c>
      <c r="P10" s="4" t="s">
        <v>91</v>
      </c>
      <c r="Q10" s="29" t="s">
        <v>92</v>
      </c>
    </row>
    <row r="11" spans="1:17" ht="10" x14ac:dyDescent="0.35">
      <c r="A11" s="11" t="s">
        <v>76</v>
      </c>
      <c r="B11" s="11" t="s">
        <v>77</v>
      </c>
      <c r="C11" s="27">
        <v>45965.541666666664</v>
      </c>
      <c r="D11" s="47">
        <v>44.1</v>
      </c>
      <c r="E11" s="47">
        <v>243.04999999999998</v>
      </c>
      <c r="F11" s="47">
        <v>2.8</v>
      </c>
      <c r="G11" s="56">
        <v>12.1</v>
      </c>
      <c r="H11" s="60">
        <v>836</v>
      </c>
      <c r="I11" s="6"/>
      <c r="J11" s="47">
        <v>8.6</v>
      </c>
      <c r="K11" s="47">
        <v>7.28</v>
      </c>
      <c r="L11" s="47"/>
      <c r="M11" s="34"/>
      <c r="N11" s="34" t="s">
        <v>93</v>
      </c>
      <c r="O11" s="4" t="s">
        <v>20</v>
      </c>
      <c r="P11" s="4" t="s">
        <v>91</v>
      </c>
      <c r="Q11" s="29" t="s">
        <v>92</v>
      </c>
    </row>
    <row r="12" spans="1:17" ht="10" x14ac:dyDescent="0.35">
      <c r="A12" s="11" t="s">
        <v>78</v>
      </c>
      <c r="B12" s="11" t="s">
        <v>79</v>
      </c>
      <c r="C12" s="27">
        <v>45965.5625</v>
      </c>
      <c r="D12" s="47">
        <v>42.8</v>
      </c>
      <c r="E12" s="47">
        <v>242.34999999999997</v>
      </c>
      <c r="F12" s="47">
        <v>4</v>
      </c>
      <c r="G12" s="56">
        <v>11.3</v>
      </c>
      <c r="H12" s="60">
        <v>828</v>
      </c>
      <c r="I12" s="6"/>
      <c r="J12" s="47">
        <v>8.36</v>
      </c>
      <c r="K12" s="47">
        <v>7.2</v>
      </c>
      <c r="L12" s="47"/>
      <c r="M12" s="34"/>
      <c r="N12" s="34" t="s">
        <v>93</v>
      </c>
      <c r="O12" s="4" t="s">
        <v>20</v>
      </c>
      <c r="P12" s="4" t="s">
        <v>91</v>
      </c>
      <c r="Q12" s="29" t="s">
        <v>92</v>
      </c>
    </row>
    <row r="13" spans="1:17" x14ac:dyDescent="0.35">
      <c r="A13" s="28" t="s">
        <v>87</v>
      </c>
      <c r="B13" s="36"/>
      <c r="C13" s="27">
        <v>45967.5</v>
      </c>
      <c r="D13" s="40">
        <v>33.42</v>
      </c>
      <c r="E13" s="47"/>
      <c r="F13" s="51"/>
      <c r="G13" s="55">
        <v>10.6</v>
      </c>
      <c r="H13" s="59">
        <v>1268</v>
      </c>
      <c r="I13" s="6"/>
      <c r="J13" s="51">
        <v>6.34</v>
      </c>
      <c r="K13" s="51">
        <v>7.1719999999999997</v>
      </c>
      <c r="L13" s="51" t="s">
        <v>17</v>
      </c>
      <c r="M13" s="33"/>
      <c r="N13" s="34" t="s">
        <v>94</v>
      </c>
      <c r="O13" s="4" t="s">
        <v>62</v>
      </c>
      <c r="P13" s="4" t="s">
        <v>91</v>
      </c>
      <c r="Q13" s="29" t="s">
        <v>92</v>
      </c>
    </row>
    <row r="14" spans="1:17" ht="10" x14ac:dyDescent="0.2">
      <c r="A14" s="28" t="s">
        <v>122</v>
      </c>
      <c r="B14" s="36" t="s">
        <v>123</v>
      </c>
      <c r="C14" s="27">
        <v>45967.333333333336</v>
      </c>
      <c r="D14" s="40"/>
      <c r="E14" s="35"/>
      <c r="F14" s="40"/>
      <c r="G14" s="41">
        <v>10.4</v>
      </c>
      <c r="H14" s="42">
        <v>891</v>
      </c>
      <c r="I14" s="4"/>
      <c r="J14" s="24">
        <v>6.58</v>
      </c>
      <c r="K14" s="24">
        <v>7.2590000000000003</v>
      </c>
      <c r="L14" s="24" t="s">
        <v>17</v>
      </c>
      <c r="M14" s="62"/>
      <c r="N14" s="25" t="s">
        <v>94</v>
      </c>
      <c r="O14" s="4" t="s">
        <v>126</v>
      </c>
      <c r="P14" s="4" t="s">
        <v>91</v>
      </c>
      <c r="Q14" s="29" t="s">
        <v>92</v>
      </c>
    </row>
    <row r="15" spans="1:17" ht="10" x14ac:dyDescent="0.2">
      <c r="A15" s="28" t="s">
        <v>124</v>
      </c>
      <c r="B15" s="36" t="s">
        <v>125</v>
      </c>
      <c r="C15" s="27">
        <v>45967.354166666664</v>
      </c>
      <c r="D15" s="40">
        <v>8.74</v>
      </c>
      <c r="E15" s="35"/>
      <c r="F15" s="40"/>
      <c r="G15" s="41">
        <v>11</v>
      </c>
      <c r="H15" s="42">
        <v>895</v>
      </c>
      <c r="I15" s="4"/>
      <c r="J15" s="24">
        <v>6.48</v>
      </c>
      <c r="K15" s="24">
        <v>7.24</v>
      </c>
      <c r="L15" s="24" t="s">
        <v>17</v>
      </c>
      <c r="M15" s="62"/>
      <c r="N15" s="25" t="s">
        <v>94</v>
      </c>
      <c r="O15" s="4" t="s">
        <v>126</v>
      </c>
      <c r="P15" s="4" t="s">
        <v>91</v>
      </c>
      <c r="Q15" s="29" t="s">
        <v>92</v>
      </c>
    </row>
    <row r="16" spans="1:17" ht="10" x14ac:dyDescent="0.35">
      <c r="A16" s="44" t="s">
        <v>106</v>
      </c>
      <c r="B16" s="36" t="s">
        <v>107</v>
      </c>
      <c r="C16" s="27">
        <v>45964.520833333336</v>
      </c>
      <c r="D16" s="40">
        <v>18.37</v>
      </c>
      <c r="E16" s="35">
        <v>186.25</v>
      </c>
      <c r="F16" s="40">
        <v>7.18</v>
      </c>
      <c r="G16" s="41">
        <v>11.4</v>
      </c>
      <c r="H16" s="42">
        <v>925</v>
      </c>
      <c r="I16" s="6"/>
      <c r="J16" s="24">
        <v>9.0299999999999994</v>
      </c>
      <c r="K16" s="24">
        <v>7.2</v>
      </c>
      <c r="L16" s="24" t="s">
        <v>17</v>
      </c>
      <c r="M16" s="25"/>
      <c r="N16" s="25" t="s">
        <v>93</v>
      </c>
      <c r="O16" s="4" t="s">
        <v>126</v>
      </c>
      <c r="P16" s="4" t="s">
        <v>91</v>
      </c>
      <c r="Q16" s="29" t="s">
        <v>92</v>
      </c>
    </row>
    <row r="17" spans="1:17" ht="10" x14ac:dyDescent="0.35">
      <c r="A17" s="28" t="s">
        <v>102</v>
      </c>
      <c r="B17" s="36" t="s">
        <v>103</v>
      </c>
      <c r="C17" s="27">
        <v>45964.479166666664</v>
      </c>
      <c r="D17" s="40">
        <v>12.24</v>
      </c>
      <c r="E17" s="35">
        <v>187.7</v>
      </c>
      <c r="F17" s="40">
        <v>6.2</v>
      </c>
      <c r="G17" s="41">
        <v>11.3</v>
      </c>
      <c r="H17" s="42">
        <v>845</v>
      </c>
      <c r="I17" s="6"/>
      <c r="J17" s="24">
        <v>9.1199999999999992</v>
      </c>
      <c r="K17" s="24">
        <v>7.26</v>
      </c>
      <c r="L17" s="24" t="s">
        <v>17</v>
      </c>
      <c r="M17" s="25"/>
      <c r="N17" s="25" t="s">
        <v>93</v>
      </c>
      <c r="O17" s="4" t="s">
        <v>126</v>
      </c>
      <c r="P17" s="4" t="s">
        <v>91</v>
      </c>
      <c r="Q17" s="29" t="s">
        <v>92</v>
      </c>
    </row>
    <row r="18" spans="1:17" ht="10" x14ac:dyDescent="0.2">
      <c r="A18" s="28" t="s">
        <v>97</v>
      </c>
      <c r="B18" s="36" t="s">
        <v>98</v>
      </c>
      <c r="C18" s="27">
        <v>45964.416666666664</v>
      </c>
      <c r="D18" s="40">
        <v>3.08</v>
      </c>
      <c r="E18" s="35">
        <v>187.67</v>
      </c>
      <c r="F18" s="40">
        <v>5.8</v>
      </c>
      <c r="G18" s="41">
        <v>10.8</v>
      </c>
      <c r="H18" s="42">
        <v>835</v>
      </c>
      <c r="I18" s="6"/>
      <c r="J18" s="24">
        <v>10.119999999999999</v>
      </c>
      <c r="K18" s="24">
        <v>7.476</v>
      </c>
      <c r="L18" s="24" t="s">
        <v>17</v>
      </c>
      <c r="M18" s="62"/>
      <c r="N18" s="25" t="s">
        <v>93</v>
      </c>
      <c r="O18" s="4" t="s">
        <v>126</v>
      </c>
      <c r="P18" s="4" t="s">
        <v>91</v>
      </c>
      <c r="Q18" s="29" t="s">
        <v>92</v>
      </c>
    </row>
    <row r="19" spans="1:17" ht="10" x14ac:dyDescent="0.35">
      <c r="A19" s="28" t="s">
        <v>104</v>
      </c>
      <c r="B19" s="36" t="s">
        <v>105</v>
      </c>
      <c r="C19" s="27">
        <v>45964.5</v>
      </c>
      <c r="D19" s="40">
        <v>2.87</v>
      </c>
      <c r="E19" s="35">
        <v>195.54</v>
      </c>
      <c r="F19" s="40">
        <v>12.81</v>
      </c>
      <c r="G19" s="41">
        <v>11.5</v>
      </c>
      <c r="H19" s="42">
        <v>1126</v>
      </c>
      <c r="I19" s="6"/>
      <c r="J19" s="24">
        <v>9.32</v>
      </c>
      <c r="K19" s="24">
        <v>7.35</v>
      </c>
      <c r="L19" s="24" t="s">
        <v>17</v>
      </c>
      <c r="M19" s="25"/>
      <c r="N19" s="25" t="s">
        <v>93</v>
      </c>
      <c r="O19" s="4" t="s">
        <v>126</v>
      </c>
      <c r="P19" s="4" t="s">
        <v>91</v>
      </c>
      <c r="Q19" s="29" t="s">
        <v>92</v>
      </c>
    </row>
    <row r="20" spans="1:17" ht="10" x14ac:dyDescent="0.35">
      <c r="A20" s="28" t="s">
        <v>99</v>
      </c>
      <c r="B20" s="36" t="s">
        <v>100</v>
      </c>
      <c r="C20" s="27">
        <v>45964.4375</v>
      </c>
      <c r="D20" s="40">
        <v>5.19</v>
      </c>
      <c r="E20" s="35">
        <v>187.91</v>
      </c>
      <c r="F20" s="40">
        <v>15.26</v>
      </c>
      <c r="G20" s="41">
        <v>11.2</v>
      </c>
      <c r="H20" s="42">
        <v>853</v>
      </c>
      <c r="I20" s="6"/>
      <c r="J20" s="24">
        <v>9.44</v>
      </c>
      <c r="K20" s="24">
        <v>7.42</v>
      </c>
      <c r="L20" s="24" t="s">
        <v>17</v>
      </c>
      <c r="M20" s="25"/>
      <c r="N20" s="25" t="s">
        <v>93</v>
      </c>
      <c r="O20" s="4" t="s">
        <v>126</v>
      </c>
      <c r="P20" s="4" t="s">
        <v>91</v>
      </c>
      <c r="Q20" s="29" t="s">
        <v>92</v>
      </c>
    </row>
    <row r="21" spans="1:17" ht="10" x14ac:dyDescent="0.35">
      <c r="A21" s="28" t="s">
        <v>101</v>
      </c>
      <c r="B21" s="36" t="s">
        <v>100</v>
      </c>
      <c r="C21" s="27">
        <v>45964.458333333336</v>
      </c>
      <c r="D21" s="40"/>
      <c r="E21" s="35"/>
      <c r="F21" s="40"/>
      <c r="G21" s="41">
        <v>11.2</v>
      </c>
      <c r="H21" s="42">
        <v>854</v>
      </c>
      <c r="I21" s="6"/>
      <c r="J21" s="24">
        <v>7.55</v>
      </c>
      <c r="K21" s="24">
        <v>7.2160000000000002</v>
      </c>
      <c r="L21" s="24" t="s">
        <v>17</v>
      </c>
      <c r="M21" s="25"/>
      <c r="N21" s="25">
        <v>2.6</v>
      </c>
      <c r="O21" s="4" t="s">
        <v>126</v>
      </c>
      <c r="P21" s="4" t="s">
        <v>91</v>
      </c>
      <c r="Q21" s="29" t="s">
        <v>92</v>
      </c>
    </row>
    <row r="22" spans="1:17" ht="10" x14ac:dyDescent="0.35">
      <c r="A22" s="28" t="s">
        <v>120</v>
      </c>
      <c r="B22" s="36" t="s">
        <v>121</v>
      </c>
      <c r="C22" s="27">
        <v>45965.520833333336</v>
      </c>
      <c r="D22" s="38">
        <v>21.75</v>
      </c>
      <c r="E22" s="49">
        <v>246.82999999999998</v>
      </c>
      <c r="F22" s="38">
        <v>2.5</v>
      </c>
      <c r="G22" s="43">
        <v>11.4</v>
      </c>
      <c r="H22" s="39">
        <v>940</v>
      </c>
      <c r="I22" s="4"/>
      <c r="J22" s="12">
        <v>6.34</v>
      </c>
      <c r="K22" s="12">
        <v>7.18</v>
      </c>
      <c r="L22" s="24" t="s">
        <v>17</v>
      </c>
      <c r="M22" s="25"/>
      <c r="N22" s="25" t="s">
        <v>93</v>
      </c>
      <c r="O22" s="4" t="s">
        <v>126</v>
      </c>
      <c r="P22" s="4" t="s">
        <v>91</v>
      </c>
      <c r="Q22" s="29" t="s">
        <v>92</v>
      </c>
    </row>
    <row r="23" spans="1:17" ht="10" x14ac:dyDescent="0.35">
      <c r="A23" s="28" t="s">
        <v>118</v>
      </c>
      <c r="B23" s="36" t="s">
        <v>119</v>
      </c>
      <c r="C23" s="27">
        <v>45965.5</v>
      </c>
      <c r="D23" s="38">
        <v>15.78</v>
      </c>
      <c r="E23" s="49">
        <v>246.32000000000002</v>
      </c>
      <c r="F23" s="38">
        <v>6</v>
      </c>
      <c r="G23" s="43">
        <v>11.3</v>
      </c>
      <c r="H23" s="39">
        <v>934</v>
      </c>
      <c r="I23" s="4"/>
      <c r="J23" s="12">
        <v>6.57</v>
      </c>
      <c r="K23" s="12">
        <v>7.2</v>
      </c>
      <c r="L23" s="24" t="s">
        <v>17</v>
      </c>
      <c r="M23" s="25"/>
      <c r="N23" s="25" t="s">
        <v>93</v>
      </c>
      <c r="O23" s="4" t="s">
        <v>126</v>
      </c>
      <c r="P23" s="4" t="s">
        <v>91</v>
      </c>
      <c r="Q23" s="29" t="s">
        <v>92</v>
      </c>
    </row>
    <row r="24" spans="1:17" ht="10" x14ac:dyDescent="0.2">
      <c r="A24" s="28" t="s">
        <v>114</v>
      </c>
      <c r="B24" s="36" t="s">
        <v>115</v>
      </c>
      <c r="C24" s="27">
        <v>45965.4375</v>
      </c>
      <c r="D24" s="38">
        <v>41.15</v>
      </c>
      <c r="E24" s="49">
        <v>198.41</v>
      </c>
      <c r="F24" s="38">
        <v>45</v>
      </c>
      <c r="G24" s="43">
        <v>10.8</v>
      </c>
      <c r="H24" s="39">
        <v>857</v>
      </c>
      <c r="I24" s="4"/>
      <c r="J24" s="12">
        <v>9.33</v>
      </c>
      <c r="K24" s="12">
        <v>7.26</v>
      </c>
      <c r="L24" s="12" t="s">
        <v>17</v>
      </c>
      <c r="M24" s="62"/>
      <c r="N24" s="25" t="s">
        <v>93</v>
      </c>
      <c r="O24" s="4" t="s">
        <v>126</v>
      </c>
      <c r="P24" s="4" t="s">
        <v>91</v>
      </c>
      <c r="Q24" s="29" t="s">
        <v>92</v>
      </c>
    </row>
    <row r="25" spans="1:17" ht="10" x14ac:dyDescent="0.2">
      <c r="A25" s="28" t="s">
        <v>112</v>
      </c>
      <c r="B25" s="36" t="s">
        <v>113</v>
      </c>
      <c r="C25" s="27">
        <v>45965.416666666664</v>
      </c>
      <c r="D25" s="38">
        <v>10.55</v>
      </c>
      <c r="E25" s="49">
        <v>196.83999999999997</v>
      </c>
      <c r="F25" s="38">
        <v>30.4</v>
      </c>
      <c r="G25" s="43">
        <v>11</v>
      </c>
      <c r="H25" s="39">
        <v>863</v>
      </c>
      <c r="I25" s="6"/>
      <c r="J25" s="12">
        <v>8.16</v>
      </c>
      <c r="K25" s="12">
        <v>7.15</v>
      </c>
      <c r="L25" s="12" t="s">
        <v>17</v>
      </c>
      <c r="M25" s="62"/>
      <c r="N25" s="25" t="s">
        <v>93</v>
      </c>
      <c r="O25" s="4" t="s">
        <v>126</v>
      </c>
      <c r="P25" s="4" t="s">
        <v>91</v>
      </c>
      <c r="Q25" s="29" t="s">
        <v>92</v>
      </c>
    </row>
    <row r="26" spans="1:17" ht="10" x14ac:dyDescent="0.2">
      <c r="A26" s="28" t="s">
        <v>116</v>
      </c>
      <c r="B26" s="37" t="s">
        <v>117</v>
      </c>
      <c r="C26" s="27">
        <v>45965.458333333336</v>
      </c>
      <c r="D26" s="38">
        <v>0.75</v>
      </c>
      <c r="E26" s="49">
        <v>187.17</v>
      </c>
      <c r="F26" s="38">
        <v>22.4</v>
      </c>
      <c r="G26" s="43">
        <v>11.4</v>
      </c>
      <c r="H26" s="39">
        <v>872</v>
      </c>
      <c r="I26" s="4"/>
      <c r="J26" s="12">
        <v>8.64</v>
      </c>
      <c r="K26" s="12">
        <v>7.19</v>
      </c>
      <c r="L26" s="24" t="s">
        <v>17</v>
      </c>
      <c r="M26" s="26"/>
      <c r="N26" s="25" t="s">
        <v>93</v>
      </c>
      <c r="O26" s="4" t="s">
        <v>126</v>
      </c>
      <c r="P26" s="4" t="s">
        <v>91</v>
      </c>
      <c r="Q26" s="29" t="s">
        <v>92</v>
      </c>
    </row>
    <row r="27" spans="1:17" ht="10" x14ac:dyDescent="0.2">
      <c r="A27" s="28" t="s">
        <v>110</v>
      </c>
      <c r="B27" s="37" t="s">
        <v>111</v>
      </c>
      <c r="C27" s="27">
        <v>45965.395833333336</v>
      </c>
      <c r="D27" s="38">
        <v>5.23</v>
      </c>
      <c r="E27" s="49">
        <v>192.12</v>
      </c>
      <c r="F27" s="38">
        <v>34.200000000000003</v>
      </c>
      <c r="G27" s="43">
        <v>10.8</v>
      </c>
      <c r="H27" s="39">
        <v>855</v>
      </c>
      <c r="I27" s="6"/>
      <c r="J27" s="12">
        <v>9.14</v>
      </c>
      <c r="K27" s="12">
        <v>7.22</v>
      </c>
      <c r="L27" s="24" t="s">
        <v>17</v>
      </c>
      <c r="M27" s="62"/>
      <c r="N27" s="25" t="s">
        <v>93</v>
      </c>
      <c r="O27" s="4" t="s">
        <v>126</v>
      </c>
      <c r="P27" s="4" t="s">
        <v>91</v>
      </c>
      <c r="Q27" s="29" t="s">
        <v>92</v>
      </c>
    </row>
    <row r="28" spans="1:17" ht="10" x14ac:dyDescent="0.2">
      <c r="A28" s="28" t="s">
        <v>108</v>
      </c>
      <c r="B28" s="37" t="s">
        <v>109</v>
      </c>
      <c r="C28" s="27">
        <v>45965.375</v>
      </c>
      <c r="D28" s="38">
        <v>5.25</v>
      </c>
      <c r="E28" s="49">
        <v>190.5</v>
      </c>
      <c r="F28" s="38">
        <v>30.2</v>
      </c>
      <c r="G28" s="43">
        <v>10.9</v>
      </c>
      <c r="H28" s="39">
        <v>823</v>
      </c>
      <c r="I28" s="6"/>
      <c r="J28" s="12">
        <v>10</v>
      </c>
      <c r="K28" s="12">
        <v>7.38</v>
      </c>
      <c r="L28" s="24" t="s">
        <v>17</v>
      </c>
      <c r="M28" s="26"/>
      <c r="N28" s="25" t="s">
        <v>93</v>
      </c>
      <c r="O28" s="4" t="s">
        <v>126</v>
      </c>
      <c r="P28" s="4" t="s">
        <v>91</v>
      </c>
      <c r="Q28" s="29" t="s">
        <v>92</v>
      </c>
    </row>
    <row r="29" spans="1:17" ht="20" x14ac:dyDescent="0.35">
      <c r="A29" s="11" t="s">
        <v>15</v>
      </c>
      <c r="B29" s="19" t="s">
        <v>16</v>
      </c>
      <c r="C29" s="14">
        <v>45965.677083333336</v>
      </c>
      <c r="D29" s="21">
        <v>18.32</v>
      </c>
      <c r="E29" s="21"/>
      <c r="F29" s="21"/>
      <c r="G29" s="22"/>
      <c r="H29" s="19"/>
      <c r="I29" s="11">
        <v>48</v>
      </c>
      <c r="J29" s="22"/>
      <c r="K29" s="21"/>
      <c r="L29" s="15" t="s">
        <v>17</v>
      </c>
      <c r="M29" s="19" t="s">
        <v>18</v>
      </c>
      <c r="N29" s="11" t="s">
        <v>19</v>
      </c>
      <c r="O29" s="4" t="s">
        <v>20</v>
      </c>
      <c r="P29" s="4" t="s">
        <v>96</v>
      </c>
      <c r="Q29" s="4" t="s">
        <v>92</v>
      </c>
    </row>
    <row r="30" spans="1:17" ht="10" x14ac:dyDescent="0.35">
      <c r="A30" s="11" t="s">
        <v>21</v>
      </c>
      <c r="B30" s="19" t="s">
        <v>22</v>
      </c>
      <c r="C30" s="14">
        <v>45965.65625</v>
      </c>
      <c r="D30" s="21">
        <v>1.49</v>
      </c>
      <c r="E30" s="21"/>
      <c r="F30" s="21"/>
      <c r="G30" s="22">
        <v>12.4</v>
      </c>
      <c r="H30" s="19">
        <v>921</v>
      </c>
      <c r="I30" s="11">
        <v>3178</v>
      </c>
      <c r="J30" s="22">
        <v>3.3</v>
      </c>
      <c r="K30" s="21">
        <v>7.23</v>
      </c>
      <c r="L30" s="15" t="s">
        <v>17</v>
      </c>
      <c r="M30" s="19"/>
      <c r="N30" s="11" t="s">
        <v>19</v>
      </c>
      <c r="O30" s="4" t="s">
        <v>20</v>
      </c>
      <c r="P30" s="4" t="s">
        <v>96</v>
      </c>
      <c r="Q30" s="4" t="s">
        <v>92</v>
      </c>
    </row>
    <row r="31" spans="1:17" ht="32" x14ac:dyDescent="0.35">
      <c r="A31" s="11" t="s">
        <v>23</v>
      </c>
      <c r="B31" s="19" t="s">
        <v>24</v>
      </c>
      <c r="C31" s="14">
        <v>45965.645833333336</v>
      </c>
      <c r="D31" s="21">
        <v>0.72</v>
      </c>
      <c r="E31" s="21"/>
      <c r="F31" s="21"/>
      <c r="G31" s="22">
        <v>13.2</v>
      </c>
      <c r="H31" s="19">
        <v>990</v>
      </c>
      <c r="I31" s="11">
        <v>23306</v>
      </c>
      <c r="J31" s="22">
        <v>2.2999999999999998</v>
      </c>
      <c r="K31" s="21">
        <v>7.17</v>
      </c>
      <c r="L31" s="15" t="s">
        <v>17</v>
      </c>
      <c r="M31" s="11" t="s">
        <v>25</v>
      </c>
      <c r="N31" s="11" t="s">
        <v>19</v>
      </c>
      <c r="O31" s="4" t="s">
        <v>20</v>
      </c>
      <c r="P31" s="4" t="s">
        <v>96</v>
      </c>
      <c r="Q31" s="4" t="s">
        <v>92</v>
      </c>
    </row>
    <row r="32" spans="1:17" ht="10" x14ac:dyDescent="0.35">
      <c r="A32" s="11" t="s">
        <v>26</v>
      </c>
      <c r="B32" s="19" t="s">
        <v>27</v>
      </c>
      <c r="C32" s="14">
        <v>45965.604166666664</v>
      </c>
      <c r="D32" s="21">
        <v>1.67</v>
      </c>
      <c r="E32" s="21"/>
      <c r="F32" s="21"/>
      <c r="G32" s="22">
        <v>12.4</v>
      </c>
      <c r="H32" s="19">
        <v>1212</v>
      </c>
      <c r="I32" s="11">
        <v>3265</v>
      </c>
      <c r="J32" s="22">
        <v>2.4</v>
      </c>
      <c r="K32" s="21">
        <v>7.19</v>
      </c>
      <c r="L32" s="21" t="s">
        <v>17</v>
      </c>
      <c r="M32" s="21"/>
      <c r="N32" s="11" t="s">
        <v>19</v>
      </c>
      <c r="O32" s="4" t="s">
        <v>20</v>
      </c>
      <c r="P32" s="4" t="s">
        <v>96</v>
      </c>
      <c r="Q32" s="4" t="s">
        <v>92</v>
      </c>
    </row>
    <row r="33" spans="1:17" ht="32" x14ac:dyDescent="0.35">
      <c r="A33" s="11" t="s">
        <v>28</v>
      </c>
      <c r="B33" s="19" t="s">
        <v>29</v>
      </c>
      <c r="C33" s="14">
        <v>45965.552083333336</v>
      </c>
      <c r="D33" s="21">
        <v>0.66</v>
      </c>
      <c r="E33" s="21"/>
      <c r="F33" s="21"/>
      <c r="G33" s="22">
        <v>13</v>
      </c>
      <c r="H33" s="19">
        <v>988</v>
      </c>
      <c r="I33" s="11">
        <v>3716</v>
      </c>
      <c r="J33" s="22">
        <v>1.9</v>
      </c>
      <c r="K33" s="21">
        <v>7.18</v>
      </c>
      <c r="L33" s="21" t="s">
        <v>17</v>
      </c>
      <c r="M33" s="11" t="s">
        <v>30</v>
      </c>
      <c r="N33" s="11" t="s">
        <v>19</v>
      </c>
      <c r="O33" s="4" t="s">
        <v>20</v>
      </c>
      <c r="P33" s="4" t="s">
        <v>96</v>
      </c>
      <c r="Q33" s="4" t="s">
        <v>92</v>
      </c>
    </row>
    <row r="34" spans="1:17" ht="10" x14ac:dyDescent="0.35">
      <c r="A34" s="11" t="s">
        <v>31</v>
      </c>
      <c r="B34" s="11" t="s">
        <v>32</v>
      </c>
      <c r="C34" s="14">
        <v>45965.572916666664</v>
      </c>
      <c r="D34" s="21">
        <v>1.87</v>
      </c>
      <c r="E34" s="15">
        <v>167.93</v>
      </c>
      <c r="F34" s="21"/>
      <c r="G34" s="22">
        <v>13.3</v>
      </c>
      <c r="H34" s="19">
        <v>1066</v>
      </c>
      <c r="I34" s="11">
        <v>3784</v>
      </c>
      <c r="J34" s="22">
        <v>2.8</v>
      </c>
      <c r="K34" s="21">
        <v>7.11</v>
      </c>
      <c r="L34" s="21" t="s">
        <v>17</v>
      </c>
      <c r="M34" s="21"/>
      <c r="N34" s="11" t="s">
        <v>19</v>
      </c>
      <c r="O34" s="4" t="s">
        <v>20</v>
      </c>
      <c r="P34" s="4" t="s">
        <v>96</v>
      </c>
      <c r="Q34" s="4" t="s">
        <v>92</v>
      </c>
    </row>
    <row r="35" spans="1:17" ht="10" x14ac:dyDescent="0.35">
      <c r="A35" s="11" t="s">
        <v>33</v>
      </c>
      <c r="B35" s="11" t="s">
        <v>34</v>
      </c>
      <c r="C35" s="14">
        <v>45965.583333333336</v>
      </c>
      <c r="D35" s="21">
        <v>2.31</v>
      </c>
      <c r="E35" s="15"/>
      <c r="F35" s="21"/>
      <c r="G35" s="22">
        <v>14.4</v>
      </c>
      <c r="H35" s="19">
        <v>1040</v>
      </c>
      <c r="I35" s="11">
        <v>13864</v>
      </c>
      <c r="J35" s="22">
        <v>3.5</v>
      </c>
      <c r="K35" s="21">
        <v>7.25</v>
      </c>
      <c r="L35" s="21" t="s">
        <v>17</v>
      </c>
      <c r="M35" s="15"/>
      <c r="N35" s="11" t="s">
        <v>19</v>
      </c>
      <c r="O35" s="4" t="s">
        <v>20</v>
      </c>
      <c r="P35" s="4" t="s">
        <v>96</v>
      </c>
      <c r="Q35" s="4" t="s">
        <v>92</v>
      </c>
    </row>
    <row r="36" spans="1:17" ht="32" x14ac:dyDescent="0.35">
      <c r="A36" s="11" t="s">
        <v>35</v>
      </c>
      <c r="B36" s="11" t="s">
        <v>36</v>
      </c>
      <c r="C36" s="14">
        <v>45965.625</v>
      </c>
      <c r="D36" s="21">
        <v>1.42</v>
      </c>
      <c r="E36" s="15"/>
      <c r="F36" s="21"/>
      <c r="G36" s="22">
        <v>12.6</v>
      </c>
      <c r="H36" s="19">
        <v>870</v>
      </c>
      <c r="I36" s="11">
        <v>330</v>
      </c>
      <c r="J36" s="22">
        <v>0.3</v>
      </c>
      <c r="K36" s="21">
        <v>7.2</v>
      </c>
      <c r="L36" s="21" t="s">
        <v>17</v>
      </c>
      <c r="M36" s="11" t="s">
        <v>37</v>
      </c>
      <c r="N36" s="11" t="s">
        <v>19</v>
      </c>
      <c r="O36" s="4" t="s">
        <v>20</v>
      </c>
      <c r="P36" s="4" t="s">
        <v>96</v>
      </c>
      <c r="Q36" s="4" t="s">
        <v>92</v>
      </c>
    </row>
    <row r="37" spans="1:17" ht="10" x14ac:dyDescent="0.35">
      <c r="A37" s="17" t="s">
        <v>38</v>
      </c>
      <c r="B37" s="17" t="s">
        <v>39</v>
      </c>
      <c r="C37" s="14">
        <v>45967.416666666664</v>
      </c>
      <c r="D37" s="46">
        <v>27.5</v>
      </c>
      <c r="E37" s="17">
        <v>160.77000000000001</v>
      </c>
      <c r="F37" s="20"/>
      <c r="G37" s="20">
        <v>11.4</v>
      </c>
      <c r="H37" s="20">
        <v>1062</v>
      </c>
      <c r="I37" s="17">
        <v>257</v>
      </c>
      <c r="J37" s="57">
        <v>4.5</v>
      </c>
      <c r="K37" s="20">
        <v>7.34</v>
      </c>
      <c r="L37" s="21" t="s">
        <v>17</v>
      </c>
      <c r="M37" s="17" t="s">
        <v>40</v>
      </c>
      <c r="N37" s="17" t="s">
        <v>19</v>
      </c>
      <c r="O37" s="4" t="s">
        <v>20</v>
      </c>
      <c r="P37" s="4" t="s">
        <v>96</v>
      </c>
      <c r="Q37" s="4" t="s">
        <v>92</v>
      </c>
    </row>
    <row r="38" spans="1:17" ht="10" x14ac:dyDescent="0.35">
      <c r="A38" s="6" t="s">
        <v>41</v>
      </c>
      <c r="B38" s="6" t="s">
        <v>42</v>
      </c>
      <c r="C38" s="7">
        <v>45967.385416666664</v>
      </c>
      <c r="D38" s="48">
        <v>4.59</v>
      </c>
      <c r="E38" s="8">
        <f>(166.7-D38)</f>
        <v>162.10999999999999</v>
      </c>
      <c r="F38" s="53"/>
      <c r="G38" s="53">
        <v>13.7</v>
      </c>
      <c r="H38" s="61">
        <v>1046</v>
      </c>
      <c r="I38" s="6">
        <v>9024</v>
      </c>
      <c r="J38" s="53">
        <v>2.1</v>
      </c>
      <c r="K38" s="48">
        <v>7.59</v>
      </c>
      <c r="L38" s="48" t="s">
        <v>43</v>
      </c>
      <c r="M38" s="6" t="s">
        <v>44</v>
      </c>
      <c r="N38" s="6" t="s">
        <v>19</v>
      </c>
      <c r="O38" s="4" t="s">
        <v>20</v>
      </c>
      <c r="P38" s="4" t="s">
        <v>96</v>
      </c>
      <c r="Q38" s="4" t="s">
        <v>92</v>
      </c>
    </row>
    <row r="39" spans="1:17" ht="10" x14ac:dyDescent="0.35">
      <c r="A39" s="18" t="s">
        <v>45</v>
      </c>
      <c r="B39" s="17" t="s">
        <v>46</v>
      </c>
      <c r="C39" s="14">
        <v>45964.625</v>
      </c>
      <c r="D39" s="21">
        <v>5.83</v>
      </c>
      <c r="E39" s="15">
        <v>174.97</v>
      </c>
      <c r="F39" s="21"/>
      <c r="G39" s="22">
        <v>12.7</v>
      </c>
      <c r="H39" s="19">
        <v>1036</v>
      </c>
      <c r="I39" s="11">
        <v>5082</v>
      </c>
      <c r="J39" s="22">
        <v>3.2</v>
      </c>
      <c r="K39" s="21">
        <v>7.04</v>
      </c>
      <c r="L39" s="21" t="s">
        <v>17</v>
      </c>
      <c r="M39" s="11" t="s">
        <v>47</v>
      </c>
      <c r="N39" s="17" t="s">
        <v>19</v>
      </c>
      <c r="O39" s="4" t="s">
        <v>20</v>
      </c>
      <c r="P39" s="4" t="s">
        <v>96</v>
      </c>
      <c r="Q39" s="4" t="s">
        <v>92</v>
      </c>
    </row>
    <row r="40" spans="1:17" ht="10" x14ac:dyDescent="0.35">
      <c r="A40" s="18" t="s">
        <v>48</v>
      </c>
      <c r="B40" s="17" t="s">
        <v>49</v>
      </c>
      <c r="C40" s="14">
        <v>45964.59375</v>
      </c>
      <c r="D40" s="21">
        <v>4.17</v>
      </c>
      <c r="E40" s="15">
        <v>176.45000000000002</v>
      </c>
      <c r="F40" s="21"/>
      <c r="G40" s="22">
        <v>12.7</v>
      </c>
      <c r="H40" s="19">
        <v>1016</v>
      </c>
      <c r="I40" s="11">
        <v>4933</v>
      </c>
      <c r="J40" s="22">
        <v>4.8</v>
      </c>
      <c r="K40" s="21">
        <v>7.06</v>
      </c>
      <c r="L40" s="21" t="s">
        <v>17</v>
      </c>
      <c r="M40" s="19"/>
      <c r="N40" s="17" t="s">
        <v>19</v>
      </c>
      <c r="O40" s="4" t="s">
        <v>20</v>
      </c>
      <c r="P40" s="4" t="s">
        <v>96</v>
      </c>
      <c r="Q40" s="4" t="s">
        <v>92</v>
      </c>
    </row>
    <row r="41" spans="1:17" ht="10" x14ac:dyDescent="0.35">
      <c r="A41" s="18" t="s">
        <v>50</v>
      </c>
      <c r="B41" s="17" t="s">
        <v>51</v>
      </c>
      <c r="C41" s="14">
        <v>45964.572916666664</v>
      </c>
      <c r="D41" s="21">
        <v>4.04</v>
      </c>
      <c r="E41" s="15">
        <v>176.81</v>
      </c>
      <c r="F41" s="21"/>
      <c r="G41" s="22">
        <v>13</v>
      </c>
      <c r="H41" s="19">
        <v>963</v>
      </c>
      <c r="I41" s="11">
        <v>7385</v>
      </c>
      <c r="J41" s="22">
        <v>0.8</v>
      </c>
      <c r="K41" s="21">
        <v>7.17</v>
      </c>
      <c r="L41" s="21" t="s">
        <v>17</v>
      </c>
      <c r="M41" s="19"/>
      <c r="N41" s="17" t="s">
        <v>19</v>
      </c>
      <c r="O41" s="4" t="s">
        <v>20</v>
      </c>
      <c r="P41" s="4" t="s">
        <v>96</v>
      </c>
      <c r="Q41" s="4" t="s">
        <v>92</v>
      </c>
    </row>
    <row r="42" spans="1:17" ht="10" x14ac:dyDescent="0.35">
      <c r="A42" s="18" t="s">
        <v>52</v>
      </c>
      <c r="B42" s="17" t="s">
        <v>53</v>
      </c>
      <c r="C42" s="14">
        <v>45964.552083333336</v>
      </c>
      <c r="D42" s="21">
        <v>4.07</v>
      </c>
      <c r="E42" s="15">
        <v>176.93</v>
      </c>
      <c r="F42" s="21"/>
      <c r="G42" s="22">
        <v>12.8</v>
      </c>
      <c r="H42" s="19">
        <v>958</v>
      </c>
      <c r="I42" s="11">
        <v>5310</v>
      </c>
      <c r="J42" s="22">
        <v>1</v>
      </c>
      <c r="K42" s="21">
        <v>7.13</v>
      </c>
      <c r="L42" s="21" t="s">
        <v>17</v>
      </c>
      <c r="M42" s="21" t="s">
        <v>54</v>
      </c>
      <c r="N42" s="17" t="s">
        <v>19</v>
      </c>
      <c r="O42" s="4" t="s">
        <v>20</v>
      </c>
      <c r="P42" s="4" t="s">
        <v>96</v>
      </c>
      <c r="Q42" s="4" t="s">
        <v>92</v>
      </c>
    </row>
    <row r="43" spans="1:17" ht="10" x14ac:dyDescent="0.35">
      <c r="A43" s="18" t="s">
        <v>55</v>
      </c>
      <c r="B43" s="17" t="s">
        <v>56</v>
      </c>
      <c r="C43" s="14">
        <v>45964.53125</v>
      </c>
      <c r="D43" s="21">
        <v>4</v>
      </c>
      <c r="E43" s="15">
        <v>177.25</v>
      </c>
      <c r="F43" s="21"/>
      <c r="G43" s="22">
        <v>12.8</v>
      </c>
      <c r="H43" s="19">
        <v>1003</v>
      </c>
      <c r="I43" s="11">
        <v>7133</v>
      </c>
      <c r="J43" s="22">
        <v>3.4</v>
      </c>
      <c r="K43" s="21">
        <v>7.07</v>
      </c>
      <c r="L43" s="21" t="s">
        <v>17</v>
      </c>
      <c r="M43" s="19"/>
      <c r="N43" s="17" t="s">
        <v>19</v>
      </c>
      <c r="O43" s="4" t="s">
        <v>20</v>
      </c>
      <c r="P43" s="4" t="s">
        <v>96</v>
      </c>
      <c r="Q43" s="4" t="s">
        <v>92</v>
      </c>
    </row>
    <row r="44" spans="1:17" ht="10" x14ac:dyDescent="0.35">
      <c r="A44" s="18" t="s">
        <v>57</v>
      </c>
      <c r="B44" s="17" t="s">
        <v>58</v>
      </c>
      <c r="C44" s="23">
        <v>45966.46875</v>
      </c>
      <c r="D44" s="21">
        <v>54.81</v>
      </c>
      <c r="E44" s="15">
        <v>225.27999999999997</v>
      </c>
      <c r="F44" s="52"/>
      <c r="G44" s="22">
        <v>10.7</v>
      </c>
      <c r="H44" s="19">
        <v>840</v>
      </c>
      <c r="I44" s="11"/>
      <c r="J44" s="22">
        <v>5.3</v>
      </c>
      <c r="K44" s="21">
        <v>7.3</v>
      </c>
      <c r="L44" s="21" t="s">
        <v>59</v>
      </c>
      <c r="M44" s="19" t="s">
        <v>60</v>
      </c>
      <c r="N44" s="17" t="s">
        <v>61</v>
      </c>
      <c r="O44" s="4" t="s">
        <v>62</v>
      </c>
      <c r="P44" s="4" t="s">
        <v>96</v>
      </c>
      <c r="Q44" s="4" t="s">
        <v>92</v>
      </c>
    </row>
    <row r="45" spans="1:17" ht="10" x14ac:dyDescent="0.35">
      <c r="A45" s="11" t="s">
        <v>63</v>
      </c>
      <c r="B45" s="19" t="s">
        <v>64</v>
      </c>
      <c r="C45" s="14">
        <v>45966.4375</v>
      </c>
      <c r="D45" s="21">
        <v>12.12</v>
      </c>
      <c r="E45" s="15"/>
      <c r="F45" s="21"/>
      <c r="G45" s="22">
        <v>10.3</v>
      </c>
      <c r="H45" s="19">
        <v>988</v>
      </c>
      <c r="I45" s="11"/>
      <c r="J45" s="22">
        <v>3.4</v>
      </c>
      <c r="K45" s="21">
        <v>6.81</v>
      </c>
      <c r="L45" s="21" t="s">
        <v>17</v>
      </c>
      <c r="M45" s="11"/>
      <c r="N45" s="11" t="s">
        <v>61</v>
      </c>
      <c r="O45" s="4" t="s">
        <v>62</v>
      </c>
      <c r="P45" s="4" t="s">
        <v>96</v>
      </c>
      <c r="Q45" s="4" t="s">
        <v>92</v>
      </c>
    </row>
    <row r="46" spans="1:17" ht="10" x14ac:dyDescent="0.35">
      <c r="A46" s="17" t="s">
        <v>65</v>
      </c>
      <c r="B46" s="17" t="s">
        <v>66</v>
      </c>
      <c r="C46" s="23">
        <v>45967.510416666664</v>
      </c>
      <c r="D46" s="20">
        <v>1.49</v>
      </c>
      <c r="E46" s="17"/>
      <c r="F46" s="22"/>
      <c r="G46" s="57">
        <v>11.4</v>
      </c>
      <c r="H46" s="20">
        <v>958</v>
      </c>
      <c r="I46" s="17">
        <v>2133</v>
      </c>
      <c r="J46" s="57">
        <v>4.9000000000000004</v>
      </c>
      <c r="K46" s="46">
        <v>7.4</v>
      </c>
      <c r="L46" s="48" t="s">
        <v>43</v>
      </c>
      <c r="M46" s="17"/>
      <c r="N46" s="17" t="s">
        <v>19</v>
      </c>
      <c r="O46" s="4" t="s">
        <v>20</v>
      </c>
      <c r="P46" s="4" t="s">
        <v>96</v>
      </c>
      <c r="Q46" s="4" t="s">
        <v>92</v>
      </c>
    </row>
    <row r="47" spans="1:17" ht="12" x14ac:dyDescent="0.35">
      <c r="A47" s="11" t="s">
        <v>67</v>
      </c>
      <c r="B47" s="11" t="s">
        <v>68</v>
      </c>
      <c r="C47" s="14">
        <v>45967.479166666664</v>
      </c>
      <c r="D47" s="15"/>
      <c r="E47" s="15"/>
      <c r="F47" s="16">
        <v>5.6</v>
      </c>
      <c r="G47" s="16">
        <v>10.9</v>
      </c>
      <c r="H47" s="11">
        <v>759</v>
      </c>
      <c r="I47" s="11">
        <v>14295</v>
      </c>
      <c r="J47" s="16">
        <v>5.4</v>
      </c>
      <c r="K47" s="15">
        <v>7.51</v>
      </c>
      <c r="L47" s="48" t="s">
        <v>43</v>
      </c>
      <c r="M47" s="19" t="s">
        <v>69</v>
      </c>
      <c r="N47" s="11" t="s">
        <v>19</v>
      </c>
      <c r="O47" s="4" t="s">
        <v>20</v>
      </c>
      <c r="P47" s="4" t="s">
        <v>96</v>
      </c>
      <c r="Q47" s="4" t="s">
        <v>92</v>
      </c>
    </row>
    <row r="48" spans="1:17" ht="12" x14ac:dyDescent="0.35">
      <c r="A48" s="11" t="s">
        <v>70</v>
      </c>
      <c r="B48" s="11" t="s">
        <v>71</v>
      </c>
      <c r="C48" s="14">
        <v>45967.5</v>
      </c>
      <c r="D48" s="15"/>
      <c r="E48" s="15"/>
      <c r="F48" s="16">
        <v>3.7</v>
      </c>
      <c r="G48" s="16">
        <v>11</v>
      </c>
      <c r="H48" s="11">
        <v>732</v>
      </c>
      <c r="I48" s="11">
        <v>9950</v>
      </c>
      <c r="J48" s="16">
        <v>4.9000000000000004</v>
      </c>
      <c r="K48" s="15">
        <v>7.49</v>
      </c>
      <c r="L48" s="48" t="s">
        <v>43</v>
      </c>
      <c r="M48" s="19" t="s">
        <v>69</v>
      </c>
      <c r="N48" s="11" t="s">
        <v>19</v>
      </c>
      <c r="O48" s="4" t="s">
        <v>20</v>
      </c>
      <c r="P48" s="4" t="s">
        <v>96</v>
      </c>
      <c r="Q48" s="4" t="s">
        <v>92</v>
      </c>
    </row>
    <row r="49" spans="1:17" x14ac:dyDescent="0.35">
      <c r="A49" s="6"/>
      <c r="B49" s="6"/>
      <c r="C49" s="7"/>
      <c r="D49" s="8"/>
      <c r="E49" s="8"/>
      <c r="F49" s="9"/>
      <c r="G49" s="9"/>
      <c r="H49" s="6"/>
      <c r="I49" s="4"/>
      <c r="J49" s="4"/>
      <c r="K49" s="4"/>
      <c r="L49" s="4"/>
      <c r="M49" s="4"/>
      <c r="N49" s="4"/>
      <c r="O49" s="4"/>
      <c r="P49" s="4"/>
      <c r="Q49" s="13"/>
    </row>
    <row r="50" spans="1:17" x14ac:dyDescent="0.35">
      <c r="A50" s="4"/>
      <c r="B50" s="4"/>
      <c r="C50" s="5"/>
      <c r="D50" s="4"/>
      <c r="E50" s="4"/>
      <c r="F50" s="9"/>
      <c r="G50" s="10"/>
      <c r="H50" s="4"/>
      <c r="I50" s="4"/>
      <c r="J50" s="4"/>
      <c r="K50" s="4"/>
      <c r="L50" s="4"/>
      <c r="M50" s="6"/>
      <c r="N50" s="6"/>
      <c r="O50" s="6"/>
      <c r="P50" s="4"/>
      <c r="Q50" s="13"/>
    </row>
    <row r="51" spans="1:17" x14ac:dyDescent="0.35">
      <c r="A51" s="6"/>
      <c r="B51" s="6"/>
      <c r="C51" s="7"/>
      <c r="D51" s="8"/>
      <c r="E51" s="8"/>
      <c r="F51" s="9"/>
      <c r="G51" s="9"/>
      <c r="H51" s="6"/>
      <c r="I51" s="4"/>
      <c r="J51" s="4"/>
      <c r="K51" s="4"/>
      <c r="L51" s="4"/>
      <c r="M51" s="6"/>
      <c r="N51" s="6"/>
      <c r="O51" s="6"/>
      <c r="P51" s="4"/>
      <c r="Q51" s="13"/>
    </row>
    <row r="52" spans="1:17" x14ac:dyDescent="0.35">
      <c r="A52" s="6"/>
      <c r="B52" s="6"/>
      <c r="C52" s="7"/>
      <c r="D52" s="8"/>
      <c r="E52" s="8"/>
      <c r="F52" s="9"/>
      <c r="G52" s="9"/>
      <c r="H52" s="6"/>
      <c r="I52" s="4"/>
      <c r="J52" s="4"/>
      <c r="K52" s="4"/>
      <c r="L52" s="4"/>
      <c r="M52" s="4"/>
      <c r="N52" s="4"/>
      <c r="O52" s="4"/>
      <c r="P52" s="4"/>
      <c r="Q52" s="13"/>
    </row>
    <row r="53" spans="1:17" x14ac:dyDescent="0.35">
      <c r="C53" s="5"/>
      <c r="M53" s="6"/>
      <c r="N53" s="6"/>
      <c r="O53" s="6"/>
      <c r="P53" s="4"/>
      <c r="Q53" s="13"/>
    </row>
    <row r="54" spans="1:17" x14ac:dyDescent="0.35">
      <c r="M54" s="6"/>
      <c r="N54" s="6"/>
      <c r="O54" s="6"/>
      <c r="P54" s="4"/>
      <c r="Q54" s="13"/>
    </row>
  </sheetData>
  <autoFilter ref="A1:Q1" xr:uid="{BCB6AA25-91B3-4717-8DE6-C66D41EC3694}">
    <sortState xmlns:xlrd2="http://schemas.microsoft.com/office/spreadsheetml/2017/richdata2" ref="A2:Q48">
      <sortCondition ref="A1"/>
    </sortState>
  </autoFilter>
  <sortState xmlns:xlrd2="http://schemas.microsoft.com/office/spreadsheetml/2017/richdata2" ref="A1:Q48">
    <sortCondition ref="A2:A48"/>
  </sortState>
  <phoneticPr fontId="4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E2E3_RMR_KW43_2025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Degenfelder, Jonathan</dc:creator>
  <cp:lastModifiedBy>Neuert, Lola</cp:lastModifiedBy>
  <cp:lastPrinted>2023-11-30T07:22:59Z</cp:lastPrinted>
  <dcterms:created xsi:type="dcterms:W3CDTF">2023-06-16T11:34:52Z</dcterms:created>
  <dcterms:modified xsi:type="dcterms:W3CDTF">2025-11-12T14:35:20Z</dcterms:modified>
</cp:coreProperties>
</file>